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ookup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<sst xmlns="http://schemas.openxmlformats.org/spreadsheetml/2006/main" count="1725" uniqueCount="1587">
  <si>
    <t xml:space="preserve">CONSULTING WALLAH · RESOURCES</t>
  </si>
  <si>
    <t xml:space="preserve">Drug &amp; Alternatives Look-up</t>
  </si>
  <si>
    <t xml:space="preserve">227 generics · therapeutic class · common forms · same-class alternatives · brand examples (India / UAE-GCC) · ATC · procurement notes. Version 27 Oct 2026.</t>
  </si>
  <si>
    <t xml:space="preserve">HOW TO USE</t>
  </si>
  <si>
    <t xml:space="preserve">1. Open the Lookup sheet. Type part of a generic, brand or class in the yellow search cell (B3); matching rows appear below.</t>
  </si>
  <si>
    <t xml:space="preserve">2. Or use the filter arrows on the Data sheet — filter by Class to see every molecule in a class and its alternatives.</t>
  </si>
  <si>
    <t xml:space="preserve">3. Use the Alternatives column to build tender lots (e.g. "PPI — any of omeprazole / pantoprazole / esomeprazole") and the Notes column for stewardship, cold-chain and controlled-drug flags.</t>
  </si>
  <si>
    <t xml:space="preserve">WHAT THIS IS — AND IS NOT</t>
  </si>
  <si>
    <t xml:space="preserve">This is a procurement reference compiled by practitioners for formulary rationalisation, tender lot design and benchmarking. It is not clinical guidance. Any substitution must be approved by the Pharmacy &amp; Therapeutics committee / treating clinician, and registration status must be checked with the relevant authority (CDSCO, MOHAP, DoH, DHA, SFDA).</t>
  </si>
  <si>
    <t xml:space="preserve">Brand names are examples only and belong to their owners; availability and registration vary by market and over time.</t>
  </si>
  <si>
    <t xml:space="preserve">Free to use and share with attribution · consultingwallah.com/resources.html · consultingwallah@gmail.com</t>
  </si>
  <si>
    <t xml:space="preserve">Type part of a generic, brand or class → </t>
  </si>
  <si>
    <t xml:space="preserve">omeprazole</t>
  </si>
  <si>
    <t xml:space="preserve">Generic</t>
  </si>
  <si>
    <t xml:space="preserve">Therapeutic class</t>
  </si>
  <si>
    <t xml:space="preserve">Common forms &amp; strengths</t>
  </si>
  <si>
    <t xml:space="preserve">Alternatives (same class / therapeutic)</t>
  </si>
  <si>
    <t xml:space="preserve">Brand examples — India</t>
  </si>
  <si>
    <t xml:space="preserve">Brand examples — UAE / GCC</t>
  </si>
  <si>
    <t xml:space="preserve">ATC</t>
  </si>
  <si>
    <t xml:space="preserve">Procurement note</t>
  </si>
  <si>
    <t xml:space="preserve">Showing up to 40 matches. For more, filter the Data sheet. Procurement reference only — not clinical guidance; substitutions need P&amp;T / clinician approval and registration checks.</t>
  </si>
  <si>
    <t xml:space="preserve">match</t>
  </si>
  <si>
    <t xml:space="preserve">n</t>
  </si>
  <si>
    <t xml:space="preserve">5-Fluorouracil</t>
  </si>
  <si>
    <t xml:space="preserve">Antimetabolite chemotherapy</t>
  </si>
  <si>
    <t xml:space="preserve">250 mg/5 ml, 500 mg/10 ml inj</t>
  </si>
  <si>
    <t xml:space="preserve">Capecitabine (oral prodrug)</t>
  </si>
  <si>
    <t xml:space="preserve">Fluracil, 5-FU (various)</t>
  </si>
  <si>
    <t xml:space="preserve">5-FU (various)</t>
  </si>
  <si>
    <t xml:space="preserve">L01BC02</t>
  </si>
  <si>
    <t xml:space="preserve">Cytotoxic.</t>
  </si>
  <si>
    <t xml:space="preserve">Acyclovir</t>
  </si>
  <si>
    <t xml:space="preserve">Antiviral</t>
  </si>
  <si>
    <t xml:space="preserve">400/800 mg tab; 250/500 mg inj; 5% cream</t>
  </si>
  <si>
    <t xml:space="preserve">Valacyclovir (oral); Famciclovir</t>
  </si>
  <si>
    <t xml:space="preserve">Zovirax, Acivir</t>
  </si>
  <si>
    <t xml:space="preserve">Zovirax, Acyclovir (various)</t>
  </si>
  <si>
    <t xml:space="preserve">J05AB01</t>
  </si>
  <si>
    <t xml:space="preserve">Adalimumab</t>
  </si>
  <si>
    <t xml:space="preserve">TNF inhibitor</t>
  </si>
  <si>
    <t xml:space="preserve">40 mg prefilled pen/syringe</t>
  </si>
  <si>
    <t xml:space="preserve">Adalimumab biosimilars; Etanercept; Infliximab</t>
  </si>
  <si>
    <t xml:space="preserve">Exemptia, Adfrar (biosimilars)</t>
  </si>
  <si>
    <t xml:space="preserve">Humira, Hyrimoz/Idacio (biosimilars)</t>
  </si>
  <si>
    <t xml:space="preserve">L04AB04</t>
  </si>
  <si>
    <t xml:space="preserve">Biosimilar switch programmes save 40–70%.</t>
  </si>
  <si>
    <t xml:space="preserve">Adrenaline (epinephrine)</t>
  </si>
  <si>
    <t xml:space="preserve">Vasopressor / emergency</t>
  </si>
  <si>
    <t xml:space="preserve">1 mg/ml inj; auto-injector</t>
  </si>
  <si>
    <t xml:space="preserve">Noradrenaline (vasopressor); (emergency use unique)</t>
  </si>
  <si>
    <t xml:space="preserve">Adrenaline (various), Vasocon</t>
  </si>
  <si>
    <t xml:space="preserve">Adrenaline (various), EpiPen (auto-injector)</t>
  </si>
  <si>
    <t xml:space="preserve">C01CA24</t>
  </si>
  <si>
    <t xml:space="preserve">Crash-cart item — expiry management critical.</t>
  </si>
  <si>
    <t xml:space="preserve">Albendazole</t>
  </si>
  <si>
    <t xml:space="preserve">Anthelmintic</t>
  </si>
  <si>
    <t xml:space="preserve">400 mg tab; suspension</t>
  </si>
  <si>
    <t xml:space="preserve">Mebendazole; Ivermectin (per indication)</t>
  </si>
  <si>
    <t xml:space="preserve">Zentel, Bandy</t>
  </si>
  <si>
    <t xml:space="preserve">Zentel, Albendazole (various)</t>
  </si>
  <si>
    <t xml:space="preserve">P02CA03</t>
  </si>
  <si>
    <t xml:space="preserve">Albumin 20%</t>
  </si>
  <si>
    <t xml:space="preserve">Plasma expander</t>
  </si>
  <si>
    <t xml:space="preserve">50/100 ml</t>
  </si>
  <si>
    <t xml:space="preserve">Albumin 5%; Synthetic colloids (restricted)</t>
  </si>
  <si>
    <t xml:space="preserve">Albumin (various), Alburel</t>
  </si>
  <si>
    <t xml:space="preserve">Albumin (various), Albutein</t>
  </si>
  <si>
    <t xml:space="preserve">B05AA01</t>
  </si>
  <si>
    <t xml:space="preserve">Plasma-derived; cold chain; batch documentation.</t>
  </si>
  <si>
    <t xml:space="preserve">Allopurinol</t>
  </si>
  <si>
    <t xml:space="preserve">Xanthine oxidase inhibitor</t>
  </si>
  <si>
    <t xml:space="preserve">100/300 mg tab</t>
  </si>
  <si>
    <t xml:space="preserve">Febuxostat</t>
  </si>
  <si>
    <t xml:space="preserve">Zyloric, Zyloprim</t>
  </si>
  <si>
    <t xml:space="preserve">Zyloric, Allopurinol (various)</t>
  </si>
  <si>
    <t xml:space="preserve">M04AA01</t>
  </si>
  <si>
    <t xml:space="preserve">Alprazolam</t>
  </si>
  <si>
    <t xml:space="preserve">Benzodiazepine (anxiolytic)</t>
  </si>
  <si>
    <t xml:space="preserve">0.25/0.5/1 mg tab</t>
  </si>
  <si>
    <t xml:space="preserve">Lorazepam; Clonazepam; Diazepam</t>
  </si>
  <si>
    <t xml:space="preserve">Alprax, Restyl</t>
  </si>
  <si>
    <t xml:space="preserve">Xanax</t>
  </si>
  <si>
    <t xml:space="preserve">N05BA12</t>
  </si>
  <si>
    <t xml:space="preserve">Controlled.</t>
  </si>
  <si>
    <t xml:space="preserve">Amikacin</t>
  </si>
  <si>
    <t xml:space="preserve">Aminoglycoside antibiotic</t>
  </si>
  <si>
    <t xml:space="preserve">500 mg/2 ml inj</t>
  </si>
  <si>
    <t xml:space="preserve">Gentamicin; Tobramycin</t>
  </si>
  <si>
    <t xml:space="preserve">Mikacin, Amicin</t>
  </si>
  <si>
    <t xml:space="preserve">Amikin, Amikacin (various)</t>
  </si>
  <si>
    <t xml:space="preserve">J01GB06</t>
  </si>
  <si>
    <t xml:space="preserve">Amiodarone</t>
  </si>
  <si>
    <t xml:space="preserve">Antiarrhythmic</t>
  </si>
  <si>
    <t xml:space="preserve">100/200 mg tab; 150 mg/3 ml inj</t>
  </si>
  <si>
    <t xml:space="preserve">(Limited) Flecainide / sotalol per indication</t>
  </si>
  <si>
    <t xml:space="preserve">Cordarone, Amiodar</t>
  </si>
  <si>
    <t xml:space="preserve">Cordarone, Amiodarone (various)</t>
  </si>
  <si>
    <t xml:space="preserve">C01BD01</t>
  </si>
  <si>
    <t xml:space="preserve">Amitriptyline</t>
  </si>
  <si>
    <t xml:space="preserve">Tricyclic antidepressant</t>
  </si>
  <si>
    <t xml:space="preserve">10/25/75 mg tab</t>
  </si>
  <si>
    <t xml:space="preserve">Nortriptyline; Duloxetine (pain)</t>
  </si>
  <si>
    <t xml:space="preserve">Tryptomer, Amitor</t>
  </si>
  <si>
    <t xml:space="preserve">Tryptizol, Amitriptyline (various)</t>
  </si>
  <si>
    <t xml:space="preserve">N06AA09</t>
  </si>
  <si>
    <t xml:space="preserve">Amlodipine</t>
  </si>
  <si>
    <t xml:space="preserve">Calcium channel blocker</t>
  </si>
  <si>
    <t xml:space="preserve">2.5/5/10 mg tab</t>
  </si>
  <si>
    <t xml:space="preserve">Nifedipine (ER); Cilnidipine; Felodipine</t>
  </si>
  <si>
    <t xml:space="preserve">Amlong, Amlokind, Stamlo</t>
  </si>
  <si>
    <t xml:space="preserve">Norvasc, Amlor</t>
  </si>
  <si>
    <t xml:space="preserve">C08CA01</t>
  </si>
  <si>
    <t xml:space="preserve">Commodity generic.</t>
  </si>
  <si>
    <t xml:space="preserve">Amoxicillin</t>
  </si>
  <si>
    <t xml:space="preserve">Penicillin antibiotic</t>
  </si>
  <si>
    <t xml:space="preserve">250/500 mg cap; 125–250 mg/5 ml susp</t>
  </si>
  <si>
    <t xml:space="preserve">Amoxicillin-clavulanate; Cefalexin; Azithromycin (per indication)</t>
  </si>
  <si>
    <t xml:space="preserve">Mox, Novamox</t>
  </si>
  <si>
    <t xml:space="preserve">Amoxil, Julphamox</t>
  </si>
  <si>
    <t xml:space="preserve">J01CA04</t>
  </si>
  <si>
    <t xml:space="preserve">Amoxicillin-clavulanate</t>
  </si>
  <si>
    <t xml:space="preserve">Penicillin + beta-lactamase inhibitor</t>
  </si>
  <si>
    <t xml:space="preserve">625 mg, 1 g tab; 1.2 g inj; 228–457 mg/5 ml susp</t>
  </si>
  <si>
    <t xml:space="preserve">Cefuroxime; Ampicillin-sulbactam; Piperacillin-tazobactam (severe)</t>
  </si>
  <si>
    <t xml:space="preserve">Augmentin, Clavam, Moxikind-CV</t>
  </si>
  <si>
    <t xml:space="preserve">Augmentin, Curam, Klavox</t>
  </si>
  <si>
    <t xml:space="preserve">J01CR02</t>
  </si>
  <si>
    <t xml:space="preserve">Highest-spend oral antibiotic in most hospitals; generic availability wide.</t>
  </si>
  <si>
    <t xml:space="preserve">Amphotericin B (liposomal)</t>
  </si>
  <si>
    <t xml:space="preserve">Polyene antifungal</t>
  </si>
  <si>
    <t xml:space="preserve">50 mg inj</t>
  </si>
  <si>
    <t xml:space="preserve">Conventional amphotericin B; Caspofungin / Micafungin</t>
  </si>
  <si>
    <t xml:space="preserve">AmBisome, Fungisome</t>
  </si>
  <si>
    <t xml:space="preserve">AmBisome</t>
  </si>
  <si>
    <t xml:space="preserve">J02AA01</t>
  </si>
  <si>
    <t xml:space="preserve">Specialist; cold chain.</t>
  </si>
  <si>
    <t xml:space="preserve">Anti-D immunoglobulin</t>
  </si>
  <si>
    <t xml:space="preserve">Immunoglobulin</t>
  </si>
  <si>
    <t xml:space="preserve">300 mcg (1500 IU) inj</t>
  </si>
  <si>
    <t xml:space="preserve">(Product-specific)</t>
  </si>
  <si>
    <t xml:space="preserve">Rhoclone, Rhogam</t>
  </si>
  <si>
    <t xml:space="preserve">Rhophylac, Rhogam</t>
  </si>
  <si>
    <t xml:space="preserve">J06BB01</t>
  </si>
  <si>
    <t xml:space="preserve">Cold chain; obstetrics.</t>
  </si>
  <si>
    <t xml:space="preserve">Apixaban</t>
  </si>
  <si>
    <t xml:space="preserve">Direct oral anticoagulant</t>
  </si>
  <si>
    <t xml:space="preserve">2.5/5 mg tab</t>
  </si>
  <si>
    <t xml:space="preserve">Rivaroxaban; Dabigatran; Warfarin</t>
  </si>
  <si>
    <t xml:space="preserve">Eliquis, Apixabid</t>
  </si>
  <si>
    <t xml:space="preserve">Eliquis</t>
  </si>
  <si>
    <t xml:space="preserve">B01AF02</t>
  </si>
  <si>
    <t xml:space="preserve">Generics in India; originator in GCC — large price gap.</t>
  </si>
  <si>
    <t xml:space="preserve">Artemether-lumefantrine</t>
  </si>
  <si>
    <t xml:space="preserve">Antimalarial (ACT)</t>
  </si>
  <si>
    <t xml:space="preserve">20/120 mg tab</t>
  </si>
  <si>
    <t xml:space="preserve">Artesunate (IV, severe); Artesunate-mefloquine</t>
  </si>
  <si>
    <t xml:space="preserve">Lumerax, Lumartem</t>
  </si>
  <si>
    <t xml:space="preserve">Coartem, Riamet</t>
  </si>
  <si>
    <t xml:space="preserve">P01BF01</t>
  </si>
  <si>
    <t xml:space="preserve">Artesunate</t>
  </si>
  <si>
    <t xml:space="preserve">Antimalarial (severe)</t>
  </si>
  <si>
    <t xml:space="preserve">60 mg inj; 50/100 mg tab</t>
  </si>
  <si>
    <t xml:space="preserve">Quinine (IV); Artemether (IM)</t>
  </si>
  <si>
    <t xml:space="preserve">Falcigo, Larinate</t>
  </si>
  <si>
    <t xml:space="preserve">Artesunate (various)</t>
  </si>
  <si>
    <t xml:space="preserve">P01BE03</t>
  </si>
  <si>
    <t xml:space="preserve">Aspirin (low dose)</t>
  </si>
  <si>
    <t xml:space="preserve">Antiplatelet</t>
  </si>
  <si>
    <t xml:space="preserve">75/81/100/150 mg tab</t>
  </si>
  <si>
    <t xml:space="preserve">Clopidogrel (where aspirin not tolerated)</t>
  </si>
  <si>
    <t xml:space="preserve">Ecosprin, Loprin</t>
  </si>
  <si>
    <t xml:space="preserve">Aspirin Protect, Jusprin</t>
  </si>
  <si>
    <t xml:space="preserve">B01AC06</t>
  </si>
  <si>
    <t xml:space="preserve">Atenolol</t>
  </si>
  <si>
    <t xml:space="preserve">Beta blocker</t>
  </si>
  <si>
    <t xml:space="preserve">25/50/100 mg tab</t>
  </si>
  <si>
    <t xml:space="preserve">Metoprolol; Bisoprolol</t>
  </si>
  <si>
    <t xml:space="preserve">Aten, Tenormin</t>
  </si>
  <si>
    <t xml:space="preserve">Tenormin</t>
  </si>
  <si>
    <t xml:space="preserve">C07AB03</t>
  </si>
  <si>
    <t xml:space="preserve">Atorvastatin</t>
  </si>
  <si>
    <t xml:space="preserve">Statin</t>
  </si>
  <si>
    <t xml:space="preserve">10/20/40/80 mg tab</t>
  </si>
  <si>
    <t xml:space="preserve">Rosuvastatin; Simvastatin; Pravastatin</t>
  </si>
  <si>
    <t xml:space="preserve">Atorva, Lipicure, Storvas</t>
  </si>
  <si>
    <t xml:space="preserve">Lipitor, Atorvastatin (various)</t>
  </si>
  <si>
    <t xml:space="preserve">C10AA05</t>
  </si>
  <si>
    <t xml:space="preserve">Commodity generic — tender per 10 mg-equivalent.</t>
  </si>
  <si>
    <t xml:space="preserve">Atracurium</t>
  </si>
  <si>
    <t xml:space="preserve">Neuromuscular blocker</t>
  </si>
  <si>
    <t xml:space="preserve">10 mg/ml inj</t>
  </si>
  <si>
    <t xml:space="preserve">Cisatracurium; Rocuronium; Vecuronium</t>
  </si>
  <si>
    <t xml:space="preserve">Tracrium, Atrabim</t>
  </si>
  <si>
    <t xml:space="preserve">Tracrium, Atracurium (various)</t>
  </si>
  <si>
    <t xml:space="preserve">M03AC04</t>
  </si>
  <si>
    <t xml:space="preserve">Cold chain.</t>
  </si>
  <si>
    <t xml:space="preserve">Atropine</t>
  </si>
  <si>
    <t xml:space="preserve">Anticholinergic</t>
  </si>
  <si>
    <t xml:space="preserve">0.6 mg/ml, 1 mg/ml inj; 1% eye drops</t>
  </si>
  <si>
    <t xml:space="preserve">Glycopyrrolate (anaesthesia)</t>
  </si>
  <si>
    <t xml:space="preserve">Atropine (various)</t>
  </si>
  <si>
    <t xml:space="preserve">A03BA01</t>
  </si>
  <si>
    <t xml:space="preserve">Crash-cart item.</t>
  </si>
  <si>
    <t xml:space="preserve">Azithromycin</t>
  </si>
  <si>
    <t xml:space="preserve">Macrolide antibiotic</t>
  </si>
  <si>
    <t xml:space="preserve">250/500 mg tab; 500 mg inj; 200 mg/5 ml susp</t>
  </si>
  <si>
    <t xml:space="preserve">Clarithromycin; Doxycycline (per indication)</t>
  </si>
  <si>
    <t xml:space="preserve">Azithral, Zithrox</t>
  </si>
  <si>
    <t xml:space="preserve">Zithromax, Azomax</t>
  </si>
  <si>
    <t xml:space="preserve">J01FA10</t>
  </si>
  <si>
    <t xml:space="preserve">Bevacizumab</t>
  </si>
  <si>
    <t xml:space="preserve">VEGF monoclonal antibody</t>
  </si>
  <si>
    <t xml:space="preserve">100/400 mg inj</t>
  </si>
  <si>
    <t xml:space="preserve">Bevacizumab biosimilars; Ranibizumab/aflibercept (ophthalmic use)</t>
  </si>
  <si>
    <t xml:space="preserve">Bevacirel, Abevmy (biosimilars)</t>
  </si>
  <si>
    <t xml:space="preserve">Avastin, Mvasi (biosimilar)</t>
  </si>
  <si>
    <t xml:space="preserve">L01FG01</t>
  </si>
  <si>
    <t xml:space="preserve">Biosimilars.</t>
  </si>
  <si>
    <t xml:space="preserve">Bisoprolol</t>
  </si>
  <si>
    <t xml:space="preserve">Metoprolol; Carvedilol; Nebivolol</t>
  </si>
  <si>
    <t xml:space="preserve">Concor, Bisoheart</t>
  </si>
  <si>
    <t xml:space="preserve">Concor</t>
  </si>
  <si>
    <t xml:space="preserve">C07AB07</t>
  </si>
  <si>
    <t xml:space="preserve">Budesonide</t>
  </si>
  <si>
    <t xml:space="preserve">Inhaled corticosteroid</t>
  </si>
  <si>
    <t xml:space="preserve">100/200/400 mcg inhaler; 0.5/1 mg nebule</t>
  </si>
  <si>
    <t xml:space="preserve">Fluticasone; Beclometasone; Mometasone</t>
  </si>
  <si>
    <t xml:space="preserve">Budecort, Pulmicort</t>
  </si>
  <si>
    <t xml:space="preserve">Pulmicort, Budecort</t>
  </si>
  <si>
    <t xml:space="preserve">R03BA02</t>
  </si>
  <si>
    <t xml:space="preserve">Budesonide-formoterol</t>
  </si>
  <si>
    <t xml:space="preserve">ICS + LABA inhaler</t>
  </si>
  <si>
    <t xml:space="preserve">160/4.5, 320/9 mcg</t>
  </si>
  <si>
    <t xml:space="preserve">Fluticasone-salmeterol; Fluticasone-vilanterol; Beclometasone-formoterol</t>
  </si>
  <si>
    <t xml:space="preserve">Foracort, Symbicort</t>
  </si>
  <si>
    <t xml:space="preserve">Symbicort, Vannair</t>
  </si>
  <si>
    <t xml:space="preserve">R03AK07</t>
  </si>
  <si>
    <t xml:space="preserve">Bupivacaine</t>
  </si>
  <si>
    <t xml:space="preserve">Local anaesthetic</t>
  </si>
  <si>
    <t xml:space="preserve">0.25%/0.5% inj; 0.5% heavy (spinal)</t>
  </si>
  <si>
    <t xml:space="preserve">Ropivacaine; Levobupivacaine</t>
  </si>
  <si>
    <t xml:space="preserve">Sensorcaine, Anawin</t>
  </si>
  <si>
    <t xml:space="preserve">Marcaine, Bupivacaine (various)</t>
  </si>
  <si>
    <t xml:space="preserve">N01BB01</t>
  </si>
  <si>
    <t xml:space="preserve">Spinal 'heavy' presentation is the obstetric volume item.</t>
  </si>
  <si>
    <t xml:space="preserve">Calcium carbonate + vitamin D3</t>
  </si>
  <si>
    <t xml:space="preserve">Mineral supplement</t>
  </si>
  <si>
    <t xml:space="preserve">500 mg/250 IU tab</t>
  </si>
  <si>
    <t xml:space="preserve">Calcium citrate + D3</t>
  </si>
  <si>
    <t xml:space="preserve">Shelcal, Calcimax</t>
  </si>
  <si>
    <t xml:space="preserve">Caltrate, Calcichew-D3</t>
  </si>
  <si>
    <t xml:space="preserve">A12AX</t>
  </si>
  <si>
    <t xml:space="preserve">Capecitabine</t>
  </si>
  <si>
    <t xml:space="preserve">Antimetabolite chemotherapy (oral)</t>
  </si>
  <si>
    <t xml:space="preserve">500 mg tab</t>
  </si>
  <si>
    <t xml:space="preserve">5-Fluorouracil (IV)</t>
  </si>
  <si>
    <t xml:space="preserve">Capiibine, Xeloda</t>
  </si>
  <si>
    <t xml:space="preserve">Xeloda, Capecitabine (various)</t>
  </si>
  <si>
    <t xml:space="preserve">L01BC06</t>
  </si>
  <si>
    <t xml:space="preserve">Carbamazepine</t>
  </si>
  <si>
    <t xml:space="preserve">Antiepileptic</t>
  </si>
  <si>
    <t xml:space="preserve">200/400 mg tab (CR); syrup</t>
  </si>
  <si>
    <t xml:space="preserve">Oxcarbazepine; Levetiracetam; Valproate</t>
  </si>
  <si>
    <t xml:space="preserve">Tegretol, Zeptol</t>
  </si>
  <si>
    <t xml:space="preserve">Tegretol, Carbamazepine (various)</t>
  </si>
  <si>
    <t xml:space="preserve">N03AF01</t>
  </si>
  <si>
    <t xml:space="preserve">Carbetocin</t>
  </si>
  <si>
    <t xml:space="preserve">Uterotonic (long-acting)</t>
  </si>
  <si>
    <t xml:space="preserve">100 mcg/ml inj</t>
  </si>
  <si>
    <t xml:space="preserve">Oxytocin</t>
  </si>
  <si>
    <t xml:space="preserve">Duratocin, Carbetocin (various)</t>
  </si>
  <si>
    <t xml:space="preserve">Duratocin, Pabal</t>
  </si>
  <si>
    <t xml:space="preserve">H01BB03</t>
  </si>
  <si>
    <t xml:space="preserve">Heat-stable formulation reduces cold-chain cost.</t>
  </si>
  <si>
    <t xml:space="preserve">Carbimazole</t>
  </si>
  <si>
    <t xml:space="preserve">Antithyroid</t>
  </si>
  <si>
    <t xml:space="preserve">5/10/20 mg tab</t>
  </si>
  <si>
    <t xml:space="preserve">Methimazole; Propylthiouracil</t>
  </si>
  <si>
    <t xml:space="preserve">Neomercazole, Thyrocab</t>
  </si>
  <si>
    <t xml:space="preserve">Neomercazole</t>
  </si>
  <si>
    <t xml:space="preserve">H03BB01</t>
  </si>
  <si>
    <t xml:space="preserve">Carboplatin</t>
  </si>
  <si>
    <t xml:space="preserve">Platinum chemotherapy</t>
  </si>
  <si>
    <t xml:space="preserve">150/450 mg inj</t>
  </si>
  <si>
    <t xml:space="preserve">Cisplatin (protocol-specific)</t>
  </si>
  <si>
    <t xml:space="preserve">Carboplat, Kemocarb</t>
  </si>
  <si>
    <t xml:space="preserve">Carboplatin (various), Paraplatin</t>
  </si>
  <si>
    <t xml:space="preserve">L01XA02</t>
  </si>
  <si>
    <t xml:space="preserve">Carboxymethylcellulose (eye)</t>
  </si>
  <si>
    <t xml:space="preserve">Lubricant eye drops</t>
  </si>
  <si>
    <t xml:space="preserve">0.5%/1% drops</t>
  </si>
  <si>
    <t xml:space="preserve">Hypromellose; Polyethylene glycol/propylene glycol; Sodium hyaluronate</t>
  </si>
  <si>
    <t xml:space="preserve">Refresh Tears, Lubrex</t>
  </si>
  <si>
    <t xml:space="preserve">Refresh Tears, Optive, Systane</t>
  </si>
  <si>
    <t xml:space="preserve">S01XA20</t>
  </si>
  <si>
    <t xml:space="preserve">Carvedilol</t>
  </si>
  <si>
    <t xml:space="preserve">Beta blocker (alpha/beta)</t>
  </si>
  <si>
    <t xml:space="preserve">3.125/6.25/12.5/25 mg tab</t>
  </si>
  <si>
    <t xml:space="preserve">Bisoprolol; Metoprolol succinate</t>
  </si>
  <si>
    <t xml:space="preserve">Cardivas, Carca</t>
  </si>
  <si>
    <t xml:space="preserve">Dilatrend, Carvedil</t>
  </si>
  <si>
    <t xml:space="preserve">C07AG02</t>
  </si>
  <si>
    <t xml:space="preserve">Caspofungin</t>
  </si>
  <si>
    <t xml:space="preserve">Echinocandin antifungal</t>
  </si>
  <si>
    <t xml:space="preserve">50/70 mg inj</t>
  </si>
  <si>
    <t xml:space="preserve">Micafungin; Anidulafungin</t>
  </si>
  <si>
    <t xml:space="preserve">Cancidas, Caspof</t>
  </si>
  <si>
    <t xml:space="preserve">Cancidas</t>
  </si>
  <si>
    <t xml:space="preserve">J02AX04</t>
  </si>
  <si>
    <t xml:space="preserve">Cefalexin</t>
  </si>
  <si>
    <t xml:space="preserve">1st-gen cephalosporin</t>
  </si>
  <si>
    <t xml:space="preserve">Cefadroxil; Amoxicillin-clavulanate</t>
  </si>
  <si>
    <t xml:space="preserve">Sporidex, Phexin</t>
  </si>
  <si>
    <t xml:space="preserve">Keflex, Ceporex</t>
  </si>
  <si>
    <t xml:space="preserve">J01DB01</t>
  </si>
  <si>
    <t xml:space="preserve">Cefepime</t>
  </si>
  <si>
    <t xml:space="preserve">4th-gen cephalosporin</t>
  </si>
  <si>
    <t xml:space="preserve">500 mg, 1 g, 2 g inj</t>
  </si>
  <si>
    <t xml:space="preserve">Ceftazidime; Piperacillin-tazobactam; Meropenem (reserve)</t>
  </si>
  <si>
    <t xml:space="preserve">Cepime, Maxipime</t>
  </si>
  <si>
    <t xml:space="preserve">Maxipime, Cefepime (various)</t>
  </si>
  <si>
    <t xml:space="preserve">J01DE01</t>
  </si>
  <si>
    <t xml:space="preserve">Cefixime</t>
  </si>
  <si>
    <t xml:space="preserve">3rd-gen oral cephalosporin</t>
  </si>
  <si>
    <t xml:space="preserve">200/400 mg tab; 50–100 mg/5 ml susp</t>
  </si>
  <si>
    <t xml:space="preserve">Cefpodoxime; Cefuroxime</t>
  </si>
  <si>
    <t xml:space="preserve">Taxim-O, Zifi</t>
  </si>
  <si>
    <t xml:space="preserve">Suprax, Cefix</t>
  </si>
  <si>
    <t xml:space="preserve">J01DD08</t>
  </si>
  <si>
    <t xml:space="preserve">Cefotaxime</t>
  </si>
  <si>
    <t xml:space="preserve">3rd-gen cephalosporin</t>
  </si>
  <si>
    <t xml:space="preserve">500 mg, 1 g inj</t>
  </si>
  <si>
    <t xml:space="preserve">Ceftriaxone</t>
  </si>
  <si>
    <t xml:space="preserve">Taxim, Claforan</t>
  </si>
  <si>
    <t xml:space="preserve">Claforan, Cefotax</t>
  </si>
  <si>
    <t xml:space="preserve">J01DD01</t>
  </si>
  <si>
    <t xml:space="preserve">Cefpodoxime</t>
  </si>
  <si>
    <t xml:space="preserve">100/200 mg tab; 50–100 mg/5 ml susp</t>
  </si>
  <si>
    <t xml:space="preserve">Cefixime; Cefuroxime</t>
  </si>
  <si>
    <t xml:space="preserve">Cepodem, Monocef-O</t>
  </si>
  <si>
    <t xml:space="preserve">Orelox, Cefpodox</t>
  </si>
  <si>
    <t xml:space="preserve">J01DD13</t>
  </si>
  <si>
    <t xml:space="preserve">Ceftazidime</t>
  </si>
  <si>
    <t xml:space="preserve">3rd-gen cephalosporin (anti-pseudomonal)</t>
  </si>
  <si>
    <t xml:space="preserve">Cefepime; Piperacillin-tazobactam</t>
  </si>
  <si>
    <t xml:space="preserve">Fortum, Cefzid</t>
  </si>
  <si>
    <t xml:space="preserve">Fortum, Zidime</t>
  </si>
  <si>
    <t xml:space="preserve">J01DD02</t>
  </si>
  <si>
    <t xml:space="preserve">250 mg, 500 mg, 1 g, 2 g inj</t>
  </si>
  <si>
    <t xml:space="preserve">Cefotaxime; Cefepime (4th gen); Cefuroxime</t>
  </si>
  <si>
    <t xml:space="preserve">Monocef, Oframax</t>
  </si>
  <si>
    <t xml:space="preserve">Rocephin, Ceftriaxone (various)</t>
  </si>
  <si>
    <t xml:space="preserve">J01DD04</t>
  </si>
  <si>
    <t xml:space="preserve">Top-5 injectable antibiotic by volume; benchmark per gram.</t>
  </si>
  <si>
    <t xml:space="preserve">Cefuroxime</t>
  </si>
  <si>
    <t xml:space="preserve">2nd-gen cephalosporin</t>
  </si>
  <si>
    <t xml:space="preserve">250/500 mg tab; 750 mg/1.5 g inj</t>
  </si>
  <si>
    <t xml:space="preserve">Cefalexin; Ceftriaxone (parenteral)</t>
  </si>
  <si>
    <t xml:space="preserve">Ceftum, Zinacef</t>
  </si>
  <si>
    <t xml:space="preserve">Zinnat, Zinacef</t>
  </si>
  <si>
    <t xml:space="preserve">J01DC02</t>
  </si>
  <si>
    <t xml:space="preserve">Cetirizine</t>
  </si>
  <si>
    <t xml:space="preserve">Antihistamine (2nd gen)</t>
  </si>
  <si>
    <t xml:space="preserve">10 mg tab; 5 mg/5 ml syrup</t>
  </si>
  <si>
    <t xml:space="preserve">Levocetirizine; Loratadine; Fexofenadine; Desloratadine</t>
  </si>
  <si>
    <t xml:space="preserve">Cetzine, Alerid</t>
  </si>
  <si>
    <t xml:space="preserve">Zyrtec, Cetirizine (various)</t>
  </si>
  <si>
    <t xml:space="preserve">R06AE07</t>
  </si>
  <si>
    <t xml:space="preserve">Chlorhexidine</t>
  </si>
  <si>
    <t xml:space="preserve">Antiseptic</t>
  </si>
  <si>
    <t xml:space="preserve">2%/4% solution; 0.2% mouthwash; 2% in 70% alcohol</t>
  </si>
  <si>
    <t xml:space="preserve">Povidone-iodine; Alcohol-based antiseptics</t>
  </si>
  <si>
    <t xml:space="preserve">Hexidine, Chlorhex</t>
  </si>
  <si>
    <t xml:space="preserve">Hibiscrub, Chlorhexidine (various)</t>
  </si>
  <si>
    <t xml:space="preserve">D08AC02</t>
  </si>
  <si>
    <t xml:space="preserve">Infection control volume; verify registration as drug vs disinfectant.</t>
  </si>
  <si>
    <t xml:space="preserve">Chlorpheniramine</t>
  </si>
  <si>
    <t xml:space="preserve">Antihistamine (1st gen)</t>
  </si>
  <si>
    <t xml:space="preserve">4 mg tab; 10 mg/ml inj</t>
  </si>
  <si>
    <t xml:space="preserve">Promethazine; Diphenhydramine; Hydroxyzine</t>
  </si>
  <si>
    <t xml:space="preserve">Piriton, CPM</t>
  </si>
  <si>
    <t xml:space="preserve">Piriton, Histop</t>
  </si>
  <si>
    <t xml:space="preserve">R06AB04</t>
  </si>
  <si>
    <t xml:space="preserve">Ciprofloxacin</t>
  </si>
  <si>
    <t xml:space="preserve">Fluoroquinolone antibiotic</t>
  </si>
  <si>
    <t xml:space="preserve">250/500 mg tab; 200 mg/100 ml IV; 0.3% eye/ear drops</t>
  </si>
  <si>
    <t xml:space="preserve">Levofloxacin; Ofloxacin</t>
  </si>
  <si>
    <t xml:space="preserve">Ciplox, Cifran</t>
  </si>
  <si>
    <t xml:space="preserve">Ciprobay, Ciprolet</t>
  </si>
  <si>
    <t xml:space="preserve">J01MA02</t>
  </si>
  <si>
    <t xml:space="preserve">Reserve-list in many stewardship programmes.</t>
  </si>
  <si>
    <t xml:space="preserve">Cisplatin</t>
  </si>
  <si>
    <t xml:space="preserve">10/50 mg inj</t>
  </si>
  <si>
    <t xml:space="preserve">Carboplatin; Oxaliplatin (protocol-specific)</t>
  </si>
  <si>
    <t xml:space="preserve">Cisplat, Kemoplat</t>
  </si>
  <si>
    <t xml:space="preserve">Cisplatin (various)</t>
  </si>
  <si>
    <t xml:space="preserve">L01XA01</t>
  </si>
  <si>
    <t xml:space="preserve">Clarithromycin</t>
  </si>
  <si>
    <t xml:space="preserve">250/500 mg tab; 500 mg inj</t>
  </si>
  <si>
    <t xml:space="preserve">Azithromycin; Erythromycin</t>
  </si>
  <si>
    <t xml:space="preserve">Claribid, Clarimac</t>
  </si>
  <si>
    <t xml:space="preserve">Klacid, Clarimed</t>
  </si>
  <si>
    <t xml:space="preserve">J01FA09</t>
  </si>
  <si>
    <t xml:space="preserve">Clindamycin</t>
  </si>
  <si>
    <t xml:space="preserve">Lincosamide antibiotic</t>
  </si>
  <si>
    <t xml:space="preserve">150/300 mg cap; 600 mg/4 ml inj</t>
  </si>
  <si>
    <t xml:space="preserve">Metronidazole (anaerobes); Linezolid (gram-positive)</t>
  </si>
  <si>
    <t xml:space="preserve">Dalacin C, Clincin</t>
  </si>
  <si>
    <t xml:space="preserve">Dalacin C, Clindamycin (various)</t>
  </si>
  <si>
    <t xml:space="preserve">J01FF01</t>
  </si>
  <si>
    <t xml:space="preserve">Clopidogrel</t>
  </si>
  <si>
    <t xml:space="preserve">Antiplatelet (P2Y12)</t>
  </si>
  <si>
    <t xml:space="preserve">75 mg tab</t>
  </si>
  <si>
    <t xml:space="preserve">Ticagrelor; Prasugrel</t>
  </si>
  <si>
    <t xml:space="preserve">Clopilet, Deplatt, Plavix</t>
  </si>
  <si>
    <t xml:space="preserve">Plavix, Clopidogrel (various)</t>
  </si>
  <si>
    <t xml:space="preserve">B01AC04</t>
  </si>
  <si>
    <t xml:space="preserve">Clotrimazole</t>
  </si>
  <si>
    <t xml:space="preserve">Topical / vaginal antifungal</t>
  </si>
  <si>
    <t xml:space="preserve">1% cream; 100/200/500 mg pessary; mouth paint</t>
  </si>
  <si>
    <t xml:space="preserve">Miconazole; Terbinafine (dermatophytes); Nystatin (oral)</t>
  </si>
  <si>
    <t xml:space="preserve">Candid, Clocip</t>
  </si>
  <si>
    <t xml:space="preserve">Canesten, Clotrimazole (various)</t>
  </si>
  <si>
    <t xml:space="preserve">D01AC01</t>
  </si>
  <si>
    <t xml:space="preserve">Co-trimoxazole</t>
  </si>
  <si>
    <t xml:space="preserve">Sulfonamide + trimethoprim</t>
  </si>
  <si>
    <t xml:space="preserve">800/160 mg tab; 240 mg/5 ml susp</t>
  </si>
  <si>
    <t xml:space="preserve">Nitrofurantoin (UTI); Doxycycline (per indication)</t>
  </si>
  <si>
    <t xml:space="preserve">Septran, Bactrim</t>
  </si>
  <si>
    <t xml:space="preserve">Septrin, Bactrim</t>
  </si>
  <si>
    <t xml:space="preserve">J01EE01</t>
  </si>
  <si>
    <t xml:space="preserve">Contrast — gadobutrol</t>
  </si>
  <si>
    <t xml:space="preserve">MRI contrast (gadolinium)</t>
  </si>
  <si>
    <t xml:space="preserve">1 mmol/ml, 7.5–15 ml</t>
  </si>
  <si>
    <t xml:space="preserve">Gadoterate; Gadoteridol (macrocyclic class)</t>
  </si>
  <si>
    <t xml:space="preserve">Gadovist</t>
  </si>
  <si>
    <t xml:space="preserve">V08CA09</t>
  </si>
  <si>
    <t xml:space="preserve">Contrast — gadoterate</t>
  </si>
  <si>
    <t xml:space="preserve">0.5 mmol/ml</t>
  </si>
  <si>
    <t xml:space="preserve">Gadobutrol; Gadoteridol</t>
  </si>
  <si>
    <t xml:space="preserve">Dotarem, Gadoterate (various)</t>
  </si>
  <si>
    <t xml:space="preserve">Dotarem, Clariscan</t>
  </si>
  <si>
    <t xml:space="preserve">V08CA02</t>
  </si>
  <si>
    <t xml:space="preserve">Generic macrocyclic agents now available.</t>
  </si>
  <si>
    <t xml:space="preserve">Contrast — iohexol</t>
  </si>
  <si>
    <t xml:space="preserve">Iodinated contrast (non-ionic)</t>
  </si>
  <si>
    <t xml:space="preserve">300/350 mgI/ml, 50–500 ml</t>
  </si>
  <si>
    <t xml:space="preserve">Iopamidol; Iodixanol (iso-osmolar); Iopromide</t>
  </si>
  <si>
    <t xml:space="preserve">Omnipaque, Iohexol (various)</t>
  </si>
  <si>
    <t xml:space="preserve">V08AB02</t>
  </si>
  <si>
    <t xml:space="preserve">Radiology volume; benchmark per gram iodine.</t>
  </si>
  <si>
    <t xml:space="preserve">Contrast — iopamidol</t>
  </si>
  <si>
    <t xml:space="preserve">300/370 mgI/ml</t>
  </si>
  <si>
    <t xml:space="preserve">Iohexol; Iodixanol; Iopromide</t>
  </si>
  <si>
    <t xml:space="preserve">Iopamiro, Scanlux</t>
  </si>
  <si>
    <t xml:space="preserve">V08AB04</t>
  </si>
  <si>
    <t xml:space="preserve">Cyclophosphamide</t>
  </si>
  <si>
    <t xml:space="preserve">Alkylating agent</t>
  </si>
  <si>
    <t xml:space="preserve">500 mg, 1 g inj; 50 mg tab</t>
  </si>
  <si>
    <t xml:space="preserve">(Protocol-specific; Ifosfamide in some regimens)</t>
  </si>
  <si>
    <t xml:space="preserve">Endoxan, Cycloxan</t>
  </si>
  <si>
    <t xml:space="preserve">Endoxan, Cyclophosphamide (various)</t>
  </si>
  <si>
    <t xml:space="preserve">L01AA01</t>
  </si>
  <si>
    <t xml:space="preserve">Cytotoxic — closed-system handling and waste cost.</t>
  </si>
  <si>
    <t xml:space="preserve">Dapagliflozin</t>
  </si>
  <si>
    <t xml:space="preserve">SGLT2 inhibitor</t>
  </si>
  <si>
    <t xml:space="preserve">5/10 mg tab</t>
  </si>
  <si>
    <t xml:space="preserve">Empagliflozin; Canagliflozin</t>
  </si>
  <si>
    <t xml:space="preserve">Forxiga, Dapanorm</t>
  </si>
  <si>
    <t xml:space="preserve">Forxiga</t>
  </si>
  <si>
    <t xml:space="preserve">A10BK01</t>
  </si>
  <si>
    <t xml:space="preserve">Generics in India since 2020s — benchmark.</t>
  </si>
  <si>
    <t xml:space="preserve">Darbepoetin alfa</t>
  </si>
  <si>
    <t xml:space="preserve">Erythropoiesis-stimulating agent</t>
  </si>
  <si>
    <t xml:space="preserve">25/40/60/100 mcg prefilled syringe</t>
  </si>
  <si>
    <t xml:space="preserve">Erythropoietin alfa (more frequent dosing)</t>
  </si>
  <si>
    <t xml:space="preserve">Aranesp, Cresp</t>
  </si>
  <si>
    <t xml:space="preserve">Aranesp</t>
  </si>
  <si>
    <t xml:space="preserve">B03XA02</t>
  </si>
  <si>
    <t xml:space="preserve">Denosumab</t>
  </si>
  <si>
    <t xml:space="preserve">RANKL monoclonal antibody</t>
  </si>
  <si>
    <t xml:space="preserve">60 mg (Prolia); 120 mg (Xgeva)</t>
  </si>
  <si>
    <t xml:space="preserve">Zoledronic acid</t>
  </si>
  <si>
    <t xml:space="preserve">Xgeva, Prolia; biosimilars emerging</t>
  </si>
  <si>
    <t xml:space="preserve">Prolia, Xgeva</t>
  </si>
  <si>
    <t xml:space="preserve">M05BX04</t>
  </si>
  <si>
    <t xml:space="preserve">Biosimilars arriving — watch tenders.</t>
  </si>
  <si>
    <t xml:space="preserve">Dexamethasone</t>
  </si>
  <si>
    <t xml:space="preserve">Corticosteroid</t>
  </si>
  <si>
    <t xml:space="preserve">0.5/4 mg tab; 4 mg/ml, 8 mg/2 ml inj</t>
  </si>
  <si>
    <t xml:space="preserve">Methylprednisolone; Hydrocortisone; Betamethasone</t>
  </si>
  <si>
    <t xml:space="preserve">Dexona, Decdan</t>
  </si>
  <si>
    <t xml:space="preserve">Dexamethasone (various), Decadron</t>
  </si>
  <si>
    <t xml:space="preserve">H02AB02</t>
  </si>
  <si>
    <t xml:space="preserve">OT antiemetic/anti-inflammatory volume; cheap generic.</t>
  </si>
  <si>
    <t xml:space="preserve">Dextrose 5% / 10%</t>
  </si>
  <si>
    <t xml:space="preserve">IV fluid</t>
  </si>
  <si>
    <t xml:space="preserve">500/1000 ml; 25% 100 ml</t>
  </si>
  <si>
    <t xml:space="preserve">Dextrose-saline combinations</t>
  </si>
  <si>
    <t xml:space="preserve">Dextrose (various)</t>
  </si>
  <si>
    <t xml:space="preserve">B05BA03</t>
  </si>
  <si>
    <t xml:space="preserve">Diazepam</t>
  </si>
  <si>
    <t xml:space="preserve">Benzodiazepine</t>
  </si>
  <si>
    <t xml:space="preserve">5/10 mg tab; 10 mg/2 ml inj; rectal gel</t>
  </si>
  <si>
    <t xml:space="preserve">Lorazepam; Midazolam; Clonazepam</t>
  </si>
  <si>
    <t xml:space="preserve">Valium, Calmpose</t>
  </si>
  <si>
    <t xml:space="preserve">Valium, Diazepam (various)</t>
  </si>
  <si>
    <t xml:space="preserve">N05BA01</t>
  </si>
  <si>
    <t xml:space="preserve">Diclofenac</t>
  </si>
  <si>
    <t xml:space="preserve">NSAID</t>
  </si>
  <si>
    <t xml:space="preserve">50 mg tab; 75 mg/3 ml inj; 1% gel; 100 mg suppository</t>
  </si>
  <si>
    <t xml:space="preserve">Ibuprofen; Naproxen; Ketorolac (inj)</t>
  </si>
  <si>
    <t xml:space="preserve">Voveran, Diclomol</t>
  </si>
  <si>
    <t xml:space="preserve">Voltaren, Cataflam</t>
  </si>
  <si>
    <t xml:space="preserve">M01AB05</t>
  </si>
  <si>
    <t xml:space="preserve">Injection and gel often tendered separately.</t>
  </si>
  <si>
    <t xml:space="preserve">Diclofenac + serratiopeptidase / combinations</t>
  </si>
  <si>
    <t xml:space="preserve">NSAID combination</t>
  </si>
  <si>
    <t xml:space="preserve">tab</t>
  </si>
  <si>
    <t xml:space="preserve">Plain NSAIDs (evidence for combinations limited)</t>
  </si>
  <si>
    <t xml:space="preserve">Various (India)</t>
  </si>
  <si>
    <t xml:space="preserve">Not registered in most GCC markets</t>
  </si>
  <si>
    <t xml:space="preserve">M01AB</t>
  </si>
  <si>
    <t xml:space="preserve">Rationalisation candidate in formulary reviews.</t>
  </si>
  <si>
    <t xml:space="preserve">Dobutamine</t>
  </si>
  <si>
    <t xml:space="preserve">Inotrope</t>
  </si>
  <si>
    <t xml:space="preserve">250 mg/20 ml inj</t>
  </si>
  <si>
    <t xml:space="preserve">Milrinone; Dopamine</t>
  </si>
  <si>
    <t xml:space="preserve">Dobutamine (various), Dobutrex</t>
  </si>
  <si>
    <t xml:space="preserve">C01CA07</t>
  </si>
  <si>
    <t xml:space="preserve">Docetaxel</t>
  </si>
  <si>
    <t xml:space="preserve">Taxane chemotherapy</t>
  </si>
  <si>
    <t xml:space="preserve">20/80/120 mg inj</t>
  </si>
  <si>
    <t xml:space="preserve">Paclitaxel (protocol-specific)</t>
  </si>
  <si>
    <t xml:space="preserve">Docetax, Taxotere</t>
  </si>
  <si>
    <t xml:space="preserve">Taxotere, Docetaxel (various)</t>
  </si>
  <si>
    <t xml:space="preserve">L01CD02</t>
  </si>
  <si>
    <t xml:space="preserve">Domperidone</t>
  </si>
  <si>
    <t xml:space="preserve">Prokinetic antiemetic</t>
  </si>
  <si>
    <t xml:space="preserve">10 mg tab; 1 mg/ml susp</t>
  </si>
  <si>
    <t xml:space="preserve">Metoclopramide</t>
  </si>
  <si>
    <t xml:space="preserve">Domstal, Vomistop</t>
  </si>
  <si>
    <t xml:space="preserve">Motilium, Motinorm</t>
  </si>
  <si>
    <t xml:space="preserve">A03FA03</t>
  </si>
  <si>
    <t xml:space="preserve">Not registered in some markets (US); check.</t>
  </si>
  <si>
    <t xml:space="preserve">Donepezil</t>
  </si>
  <si>
    <t xml:space="preserve">Cholinesterase inhibitor</t>
  </si>
  <si>
    <t xml:space="preserve">Rivastigmine; Galantamine; Memantine (add-on)</t>
  </si>
  <si>
    <t xml:space="preserve">Donep, Aricep</t>
  </si>
  <si>
    <t xml:space="preserve">Aricept, Donepezil (various)</t>
  </si>
  <si>
    <t xml:space="preserve">N06DA02</t>
  </si>
  <si>
    <t xml:space="preserve">Dopamine</t>
  </si>
  <si>
    <t xml:space="preserve">Inotrope / vasopressor</t>
  </si>
  <si>
    <t xml:space="preserve">200 mg/5 ml inj</t>
  </si>
  <si>
    <t xml:space="preserve">Noradrenaline; Dobutamine</t>
  </si>
  <si>
    <t xml:space="preserve">Dopamine (various), Intropin</t>
  </si>
  <si>
    <t xml:space="preserve">Dopamine (various)</t>
  </si>
  <si>
    <t xml:space="preserve">C01CA04</t>
  </si>
  <si>
    <t xml:space="preserve">Doxorubicin</t>
  </si>
  <si>
    <t xml:space="preserve">Anthracycline chemotherapy</t>
  </si>
  <si>
    <t xml:space="preserve">10/50 mg inj; liposomal 20 mg</t>
  </si>
  <si>
    <t xml:space="preserve">Epirubicin; Liposomal doxorubicin (cardiotoxicity profile)</t>
  </si>
  <si>
    <t xml:space="preserve">Adrim, Doxorubicin (various)</t>
  </si>
  <si>
    <t xml:space="preserve">Adriamycin, Caelyx (liposomal)</t>
  </si>
  <si>
    <t xml:space="preserve">L01DB01</t>
  </si>
  <si>
    <t xml:space="preserve">Doxycycline</t>
  </si>
  <si>
    <t xml:space="preserve">Tetracycline antibiotic</t>
  </si>
  <si>
    <t xml:space="preserve">100 mg cap/tab</t>
  </si>
  <si>
    <t xml:space="preserve">Minocycline; Azithromycin (per indication)</t>
  </si>
  <si>
    <t xml:space="preserve">Doxt, Minicycline</t>
  </si>
  <si>
    <t xml:space="preserve">Vibramycin, Doxycin</t>
  </si>
  <si>
    <t xml:space="preserve">J01AA02</t>
  </si>
  <si>
    <t xml:space="preserve">Empagliflozin</t>
  </si>
  <si>
    <t xml:space="preserve">10/25 mg tab</t>
  </si>
  <si>
    <t xml:space="preserve">Dapagliflozin; Canagliflozin</t>
  </si>
  <si>
    <t xml:space="preserve">Jardiance, Empaone</t>
  </si>
  <si>
    <t xml:space="preserve">Jardiance</t>
  </si>
  <si>
    <t xml:space="preserve">A10BK03</t>
  </si>
  <si>
    <t xml:space="preserve">Enalapril</t>
  </si>
  <si>
    <t xml:space="preserve">ACE inhibitor</t>
  </si>
  <si>
    <t xml:space="preserve">Ramipril; Lisinopril; Perindopril</t>
  </si>
  <si>
    <t xml:space="preserve">Enam, Envas</t>
  </si>
  <si>
    <t xml:space="preserve">Renitec, Enalapril (various)</t>
  </si>
  <si>
    <t xml:space="preserve">C09AA02</t>
  </si>
  <si>
    <t xml:space="preserve">Enoxaparin</t>
  </si>
  <si>
    <t xml:space="preserve">Low-molecular-weight heparin</t>
  </si>
  <si>
    <t xml:space="preserve">20/40/60/80 mg prefilled syringe</t>
  </si>
  <si>
    <t xml:space="preserve">Dalteparin; Unfractionated heparin; Fondaparinux</t>
  </si>
  <si>
    <t xml:space="preserve">Clexane, Lomoh, Enoxion</t>
  </si>
  <si>
    <t xml:space="preserve">Clexane, Enoxaparin biosimilars</t>
  </si>
  <si>
    <t xml:space="preserve">B01AB05</t>
  </si>
  <si>
    <t xml:space="preserve">Biosimilars widely available — high-value tender line.</t>
  </si>
  <si>
    <t xml:space="preserve">Ertapenem</t>
  </si>
  <si>
    <t xml:space="preserve">Carbapenem antibiotic</t>
  </si>
  <si>
    <t xml:space="preserve">1 g inj</t>
  </si>
  <si>
    <t xml:space="preserve">Meropenem; Imipenem-cilastatin</t>
  </si>
  <si>
    <t xml:space="preserve">Invanz, Ertapen</t>
  </si>
  <si>
    <t xml:space="preserve">Invanz</t>
  </si>
  <si>
    <t xml:space="preserve">J01DH03</t>
  </si>
  <si>
    <t xml:space="preserve">Once-daily; OPAT-friendly.</t>
  </si>
  <si>
    <t xml:space="preserve">Erythropoietin alfa</t>
  </si>
  <si>
    <t xml:space="preserve">2000/4000/10000 IU prefilled syringe</t>
  </si>
  <si>
    <t xml:space="preserve">Darbepoetin alfa; Epoetin beta; Methoxy PEG-epoetin beta</t>
  </si>
  <si>
    <t xml:space="preserve">Eprex, Wepox, Epofit</t>
  </si>
  <si>
    <t xml:space="preserve">Eprex, Binocrit (biosimilar)</t>
  </si>
  <si>
    <t xml:space="preserve">B03XA01</t>
  </si>
  <si>
    <t xml:space="preserve">Biosimilars; dialysis volume.</t>
  </si>
  <si>
    <t xml:space="preserve">Escitalopram</t>
  </si>
  <si>
    <t xml:space="preserve">SSRI</t>
  </si>
  <si>
    <t xml:space="preserve">Sertraline; Citalopram; Fluoxetine</t>
  </si>
  <si>
    <t xml:space="preserve">Nexito, Cipralex</t>
  </si>
  <si>
    <t xml:space="preserve">Cipralex, Escitalopram (various)</t>
  </si>
  <si>
    <t xml:space="preserve">N06AB10</t>
  </si>
  <si>
    <t xml:space="preserve">Esomeprazole</t>
  </si>
  <si>
    <t xml:space="preserve">Proton pump inhibitor</t>
  </si>
  <si>
    <t xml:space="preserve">20/40 mg tab; 40 mg inj</t>
  </si>
  <si>
    <t xml:space="preserve">Pantoprazole; Omeprazole; Rabeprazole</t>
  </si>
  <si>
    <t xml:space="preserve">Nexpro, Esoz</t>
  </si>
  <si>
    <t xml:space="preserve">Nexium, Esomax</t>
  </si>
  <si>
    <t xml:space="preserve">A02BC05</t>
  </si>
  <si>
    <t xml:space="preserve">Etanercept</t>
  </si>
  <si>
    <t xml:space="preserve">25/50 mg prefilled</t>
  </si>
  <si>
    <t xml:space="preserve">Etanercept biosimilars; Adalimumab</t>
  </si>
  <si>
    <t xml:space="preserve">Intacept, Etacept</t>
  </si>
  <si>
    <t xml:space="preserve">Enbrel, Erelzi (biosimilar)</t>
  </si>
  <si>
    <t xml:space="preserve">L04AB01</t>
  </si>
  <si>
    <t xml:space="preserve">Famotidine</t>
  </si>
  <si>
    <t xml:space="preserve">H2 blocker</t>
  </si>
  <si>
    <t xml:space="preserve">20/40 mg tab; 20 mg/2 ml inj</t>
  </si>
  <si>
    <t xml:space="preserve">PPIs; Ranitidine (where available)</t>
  </si>
  <si>
    <t xml:space="preserve">Famocid, Topcid</t>
  </si>
  <si>
    <t xml:space="preserve">Pepcid, Famodar</t>
  </si>
  <si>
    <t xml:space="preserve">A02BA03</t>
  </si>
  <si>
    <t xml:space="preserve">40/80 mg tab</t>
  </si>
  <si>
    <t xml:space="preserve">Febutaz, Zurig</t>
  </si>
  <si>
    <t xml:space="preserve">Adenuric, Uloric</t>
  </si>
  <si>
    <t xml:space="preserve">M04AA03</t>
  </si>
  <si>
    <t xml:space="preserve">Fentanyl</t>
  </si>
  <si>
    <t xml:space="preserve">Opioid analgesic (anaesthesia/pain)</t>
  </si>
  <si>
    <t xml:space="preserve">50 mcg/ml inj; 25–100 mcg/h patch</t>
  </si>
  <si>
    <t xml:space="preserve">Morphine; Remifentanil (OT)</t>
  </si>
  <si>
    <t xml:space="preserve">Trofentyl, Fent</t>
  </si>
  <si>
    <t xml:space="preserve">Sublimaze, Durogesic</t>
  </si>
  <si>
    <t xml:space="preserve">N02AB03</t>
  </si>
  <si>
    <t xml:space="preserve">Controlled; OT and ICU demand.</t>
  </si>
  <si>
    <t xml:space="preserve">Ferric carboxymaltose</t>
  </si>
  <si>
    <t xml:space="preserve">Parenteral iron</t>
  </si>
  <si>
    <t xml:space="preserve">500 mg/10 ml, 1 g/20 ml</t>
  </si>
  <si>
    <t xml:space="preserve">Iron sucrose (more infusions, lower unit cost)</t>
  </si>
  <si>
    <t xml:space="preserve">Encicarb, Ferinject</t>
  </si>
  <si>
    <t xml:space="preserve">Ferinject</t>
  </si>
  <si>
    <t xml:space="preserve">B03AC01</t>
  </si>
  <si>
    <t xml:space="preserve">Single-dose convenience vs cost — day-care capacity decides.</t>
  </si>
  <si>
    <t xml:space="preserve">Fexofenadine</t>
  </si>
  <si>
    <t xml:space="preserve">120/180 mg tab</t>
  </si>
  <si>
    <t xml:space="preserve">Cetirizine; Loratadine; Desloratadine</t>
  </si>
  <si>
    <t xml:space="preserve">Allegra, Fexova</t>
  </si>
  <si>
    <t xml:space="preserve">Telfast, Allegra</t>
  </si>
  <si>
    <t xml:space="preserve">R06AX26</t>
  </si>
  <si>
    <t xml:space="preserve">Filgrastim</t>
  </si>
  <si>
    <t xml:space="preserve">G-CSF</t>
  </si>
  <si>
    <t xml:space="preserve">300 mcg, 480 mcg prefilled syringe</t>
  </si>
  <si>
    <t xml:space="preserve">Pegfilgrastim (long-acting); Lenograstim</t>
  </si>
  <si>
    <t xml:space="preserve">Neukine, Grafeel, Religrast</t>
  </si>
  <si>
    <t xml:space="preserve">Neupogen, Zarzio (biosimilar)</t>
  </si>
  <si>
    <t xml:space="preserve">L03AA02</t>
  </si>
  <si>
    <t xml:space="preserve">Biosimilars widely available.</t>
  </si>
  <si>
    <t xml:space="preserve">Fluconazole</t>
  </si>
  <si>
    <t xml:space="preserve">Azole antifungal</t>
  </si>
  <si>
    <t xml:space="preserve">150/200 mg cap; 200 mg/100 ml IV</t>
  </si>
  <si>
    <t xml:space="preserve">Itraconazole; Voriconazole (resistant/invasive)</t>
  </si>
  <si>
    <t xml:space="preserve">Forcan, Zocon</t>
  </si>
  <si>
    <t xml:space="preserve">Diflucan, Flucoral</t>
  </si>
  <si>
    <t xml:space="preserve">J02AC01</t>
  </si>
  <si>
    <t xml:space="preserve">Fluoxetine</t>
  </si>
  <si>
    <t xml:space="preserve">20 mg cap</t>
  </si>
  <si>
    <t xml:space="preserve">Sertraline; Escitalopram</t>
  </si>
  <si>
    <t xml:space="preserve">Fludac, Prodep</t>
  </si>
  <si>
    <t xml:space="preserve">Prozac, Fluoxetine (various)</t>
  </si>
  <si>
    <t xml:space="preserve">N06AB03</t>
  </si>
  <si>
    <t xml:space="preserve">Fluticasone-salmeterol</t>
  </si>
  <si>
    <t xml:space="preserve">125/25, 250/25, 250/50 mcg</t>
  </si>
  <si>
    <t xml:space="preserve">Budesonide-formoterol; Fluticasone-vilanterol</t>
  </si>
  <si>
    <t xml:space="preserve">Seroflo, Combitide</t>
  </si>
  <si>
    <t xml:space="preserve">Seretide, Advair</t>
  </si>
  <si>
    <t xml:space="preserve">R03AK06</t>
  </si>
  <si>
    <t xml:space="preserve">Folic acid</t>
  </si>
  <si>
    <t xml:space="preserve">Vitamin</t>
  </si>
  <si>
    <t xml:space="preserve">5 mg tab; 400 mcg</t>
  </si>
  <si>
    <t xml:space="preserve">(Supplement) — combination iron-folic acid</t>
  </si>
  <si>
    <t xml:space="preserve">Folvite, Folic acid (various)</t>
  </si>
  <si>
    <t xml:space="preserve">Folic acid (various)</t>
  </si>
  <si>
    <t xml:space="preserve">B03BB01</t>
  </si>
  <si>
    <t xml:space="preserve">Furosemide</t>
  </si>
  <si>
    <t xml:space="preserve">Loop diuretic</t>
  </si>
  <si>
    <t xml:space="preserve">40 mg tab; 20 mg/2 ml inj</t>
  </si>
  <si>
    <t xml:space="preserve">Torsemide; Bumetanide</t>
  </si>
  <si>
    <t xml:space="preserve">Lasix, Frusenex</t>
  </si>
  <si>
    <t xml:space="preserve">Lasix, Furosemide (various)</t>
  </si>
  <si>
    <t xml:space="preserve">C03CA01</t>
  </si>
  <si>
    <t xml:space="preserve">Gabapentin</t>
  </si>
  <si>
    <t xml:space="preserve">Gabapentinoid</t>
  </si>
  <si>
    <t xml:space="preserve">300/400/600 mg cap/tab</t>
  </si>
  <si>
    <t xml:space="preserve">Pregabalin</t>
  </si>
  <si>
    <t xml:space="preserve">Gabapin, Neurontin</t>
  </si>
  <si>
    <t xml:space="preserve">Neurontin, Gabapentin (various)</t>
  </si>
  <si>
    <t xml:space="preserve">N02BF01</t>
  </si>
  <si>
    <t xml:space="preserve">Controlled in UAE.</t>
  </si>
  <si>
    <t xml:space="preserve">Gemcitabine</t>
  </si>
  <si>
    <t xml:space="preserve">200 mg, 1 g inj</t>
  </si>
  <si>
    <t xml:space="preserve">(Protocol-specific)</t>
  </si>
  <si>
    <t xml:space="preserve">Gemcite, Gemtaz</t>
  </si>
  <si>
    <t xml:space="preserve">Gemzar, Gemcitabine (various)</t>
  </si>
  <si>
    <t xml:space="preserve">L01BC05</t>
  </si>
  <si>
    <t xml:space="preserve">Gentamicin</t>
  </si>
  <si>
    <t xml:space="preserve">80 mg/2 ml inj; 0.3% eye/ear drops</t>
  </si>
  <si>
    <t xml:space="preserve">Amikacin; Tobramycin</t>
  </si>
  <si>
    <t xml:space="preserve">Genticyn, Garamycin</t>
  </si>
  <si>
    <t xml:space="preserve">Garamycin, Gentamicin (various)</t>
  </si>
  <si>
    <t xml:space="preserve">J01GB03</t>
  </si>
  <si>
    <t xml:space="preserve">Gliclazide</t>
  </si>
  <si>
    <t xml:space="preserve">Sulfonylurea</t>
  </si>
  <si>
    <t xml:space="preserve">40/80 mg tab; 30/60 mg MR</t>
  </si>
  <si>
    <t xml:space="preserve">Glimepiride</t>
  </si>
  <si>
    <t xml:space="preserve">Diamicron, Glizid</t>
  </si>
  <si>
    <t xml:space="preserve">Diamicron, Diaglic</t>
  </si>
  <si>
    <t xml:space="preserve">A10BB09</t>
  </si>
  <si>
    <t xml:space="preserve">1/2/4 mg tab</t>
  </si>
  <si>
    <t xml:space="preserve">Gliclazide; Glibenclamide</t>
  </si>
  <si>
    <t xml:space="preserve">Amaryl, Glimestar</t>
  </si>
  <si>
    <t xml:space="preserve">Amaryl, Glimaryl</t>
  </si>
  <si>
    <t xml:space="preserve">A10BB12</t>
  </si>
  <si>
    <t xml:space="preserve">Glycopyrrolate</t>
  </si>
  <si>
    <t xml:space="preserve">Anticholinergic (anaesthesia)</t>
  </si>
  <si>
    <t xml:space="preserve">0.2 mg/ml inj</t>
  </si>
  <si>
    <t xml:space="preserve">Pyrolate, Glyco-P</t>
  </si>
  <si>
    <t xml:space="preserve">Robinul, Glycopyrronium (various)</t>
  </si>
  <si>
    <t xml:space="preserve">A03AB02</t>
  </si>
  <si>
    <t xml:space="preserve">Granisetron</t>
  </si>
  <si>
    <t xml:space="preserve">Antiemetic (5-HT3)</t>
  </si>
  <si>
    <t xml:space="preserve">1 mg tab; 1 mg/ml inj</t>
  </si>
  <si>
    <t xml:space="preserve">Ondansetron; Palonosetron</t>
  </si>
  <si>
    <t xml:space="preserve">Granicip, Graniset</t>
  </si>
  <si>
    <t xml:space="preserve">Kytril</t>
  </si>
  <si>
    <t xml:space="preserve">A04AA02</t>
  </si>
  <si>
    <t xml:space="preserve">Haloperidol</t>
  </si>
  <si>
    <t xml:space="preserve">Typical antipsychotic</t>
  </si>
  <si>
    <t xml:space="preserve">5 mg tab; 5 mg/ml inj; decanoate</t>
  </si>
  <si>
    <t xml:space="preserve">Olanzapine (inj, agitation); Chlorpromazine</t>
  </si>
  <si>
    <t xml:space="preserve">Serenace, Halidol</t>
  </si>
  <si>
    <t xml:space="preserve">Haldol, Serenase</t>
  </si>
  <si>
    <t xml:space="preserve">N05AD01</t>
  </si>
  <si>
    <t xml:space="preserve">Heparin (unfractionated)</t>
  </si>
  <si>
    <t xml:space="preserve">Anticoagulant</t>
  </si>
  <si>
    <t xml:space="preserve">5000 IU/ml inj; 1000 IU/ml</t>
  </si>
  <si>
    <t xml:space="preserve">Enoxaparin (LMWH)</t>
  </si>
  <si>
    <t xml:space="preserve">Heparin (various), Beparine</t>
  </si>
  <si>
    <t xml:space="preserve">Heparin (various)</t>
  </si>
  <si>
    <t xml:space="preserve">B01AB01</t>
  </si>
  <si>
    <t xml:space="preserve">Hepatitis B vaccine</t>
  </si>
  <si>
    <t xml:space="preserve">Vaccine</t>
  </si>
  <si>
    <t xml:space="preserve">10/20 mcg/ml</t>
  </si>
  <si>
    <t xml:space="preserve">Engerix-B, Genevac-B, Revac-B</t>
  </si>
  <si>
    <t xml:space="preserve">Engerix-B, Euvax</t>
  </si>
  <si>
    <t xml:space="preserve">J07BC01</t>
  </si>
  <si>
    <t xml:space="preserve">Cold chain; staff immunisation volume.</t>
  </si>
  <si>
    <t xml:space="preserve">Human insulin (regular / NPH / 30:70)</t>
  </si>
  <si>
    <t xml:space="preserve">Human insulin</t>
  </si>
  <si>
    <t xml:space="preserve">40 IU/ml, 100 IU/ml vial; pen</t>
  </si>
  <si>
    <t xml:space="preserve">Analogue insulins (higher cost)</t>
  </si>
  <si>
    <t xml:space="preserve">Huminsulin, Insugen, Actrapid, Mixtard</t>
  </si>
  <si>
    <t xml:space="preserve">Actrapid, Insulatard, Mixtard, Humulin</t>
  </si>
  <si>
    <t xml:space="preserve">A10AB01</t>
  </si>
  <si>
    <t xml:space="preserve">Lowest-cost insulin option; still the volume driver in India.</t>
  </si>
  <si>
    <t xml:space="preserve">Hydrochlorothiazide</t>
  </si>
  <si>
    <t xml:space="preserve">Thiazide diuretic</t>
  </si>
  <si>
    <t xml:space="preserve">12.5/25 mg tab</t>
  </si>
  <si>
    <t xml:space="preserve">Chlorthalidone; Indapamide</t>
  </si>
  <si>
    <t xml:space="preserve">Aquazide, (combos)</t>
  </si>
  <si>
    <t xml:space="preserve">Esidrex, (combos)</t>
  </si>
  <si>
    <t xml:space="preserve">C03AA03</t>
  </si>
  <si>
    <t xml:space="preserve">Hydrocortisone</t>
  </si>
  <si>
    <t xml:space="preserve">100 mg inj; 10/20 mg tab; 1% cream</t>
  </si>
  <si>
    <t xml:space="preserve">Methylprednisolone; Dexamethasone</t>
  </si>
  <si>
    <t xml:space="preserve">Efcorlin, Hycort</t>
  </si>
  <si>
    <t xml:space="preserve">Solu-Cortef, Hydrocortisone (various)</t>
  </si>
  <si>
    <t xml:space="preserve">H02AB09</t>
  </si>
  <si>
    <t xml:space="preserve">Hydroxychloroquine</t>
  </si>
  <si>
    <t xml:space="preserve">Antimalarial / DMARD</t>
  </si>
  <si>
    <t xml:space="preserve">200/400 mg tab</t>
  </si>
  <si>
    <t xml:space="preserve">Chloroquine; Methotrexate (RA, different class)</t>
  </si>
  <si>
    <t xml:space="preserve">HCQS, Oxcq</t>
  </si>
  <si>
    <t xml:space="preserve">Plaquenil, Hydroxychloroquine (various)</t>
  </si>
  <si>
    <t xml:space="preserve">P01BA02</t>
  </si>
  <si>
    <t xml:space="preserve">Hyoscine butylbromide</t>
  </si>
  <si>
    <t xml:space="preserve">Antispasmodic</t>
  </si>
  <si>
    <t xml:space="preserve">10 mg tab; 20 mg/ml inj</t>
  </si>
  <si>
    <t xml:space="preserve">Dicyclomine; Drotaverine</t>
  </si>
  <si>
    <t xml:space="preserve">Buscopan, Hyospan</t>
  </si>
  <si>
    <t xml:space="preserve">Buscopan</t>
  </si>
  <si>
    <t xml:space="preserve">A03BB01</t>
  </si>
  <si>
    <t xml:space="preserve">Ibuprofen</t>
  </si>
  <si>
    <t xml:space="preserve">200 mg, 400 mg tab; 100 mg/5 ml suspension</t>
  </si>
  <si>
    <t xml:space="preserve">Naproxen; Diclofenac; Paracetamol (non-NSAID)</t>
  </si>
  <si>
    <t xml:space="preserve">Brufen, Ibugesic</t>
  </si>
  <si>
    <t xml:space="preserve">Brufen, Advil</t>
  </si>
  <si>
    <t xml:space="preserve">M01AE01</t>
  </si>
  <si>
    <t xml:space="preserve">Avoid in renal impairment; procurement note only.</t>
  </si>
  <si>
    <t xml:space="preserve">Imipenem-cilastatin</t>
  </si>
  <si>
    <t xml:space="preserve">500 mg/500 mg inj</t>
  </si>
  <si>
    <t xml:space="preserve">Meropenem; Ertapenem</t>
  </si>
  <si>
    <t xml:space="preserve">Cilanem, Imipen</t>
  </si>
  <si>
    <t xml:space="preserve">Tienam, Imipen</t>
  </si>
  <si>
    <t xml:space="preserve">J01DH51</t>
  </si>
  <si>
    <t xml:space="preserve">Immunoglobulin (IVIG)</t>
  </si>
  <si>
    <t xml:space="preserve">5%/10% 5 g, 10 g vials</t>
  </si>
  <si>
    <t xml:space="preserve">(Product-specific; SCIG for home therapy)</t>
  </si>
  <si>
    <t xml:space="preserve">Various (plasma-derived)</t>
  </si>
  <si>
    <t xml:space="preserve">Privigen, Octagam, Kiovig</t>
  </si>
  <si>
    <t xml:space="preserve">J06BA02</t>
  </si>
  <si>
    <t xml:space="preserve">Plasma-derived; supply constrained — multi-source contracts.</t>
  </si>
  <si>
    <t xml:space="preserve">Infliximab</t>
  </si>
  <si>
    <t xml:space="preserve">100 mg inj</t>
  </si>
  <si>
    <t xml:space="preserve">Infliximab biosimilars; Adalimumab; Etanercept</t>
  </si>
  <si>
    <t xml:space="preserve">Infimab, Remsima</t>
  </si>
  <si>
    <t xml:space="preserve">Remicade, Remsima/Inflectra (biosimilars)</t>
  </si>
  <si>
    <t xml:space="preserve">L04AB02</t>
  </si>
  <si>
    <t xml:space="preserve">Influenza vaccine</t>
  </si>
  <si>
    <t xml:space="preserve">0.5 ml prefilled (quadrivalent)</t>
  </si>
  <si>
    <t xml:space="preserve">(Seasonal; product-specific)</t>
  </si>
  <si>
    <t xml:space="preserve">Influvac, Vaxigrip, Fluarix</t>
  </si>
  <si>
    <t xml:space="preserve">J07BB02</t>
  </si>
  <si>
    <t xml:space="preserve">Seasonal; order to campaign plan to avoid expiry.</t>
  </si>
  <si>
    <t xml:space="preserve">Insulin aspart</t>
  </si>
  <si>
    <t xml:space="preserve">Rapid-acting insulin analogue</t>
  </si>
  <si>
    <t xml:space="preserve">100 IU/ml pen/vial</t>
  </si>
  <si>
    <t xml:space="preserve">Insulin lispro; Insulin glulisine; Regular human insulin</t>
  </si>
  <si>
    <t xml:space="preserve">NovoRapid, Fiasp</t>
  </si>
  <si>
    <t xml:space="preserve">A10AB05</t>
  </si>
  <si>
    <t xml:space="preserve">Insulin degludec</t>
  </si>
  <si>
    <t xml:space="preserve">Ultra-long-acting insulin analogue</t>
  </si>
  <si>
    <t xml:space="preserve">100 IU/ml pen</t>
  </si>
  <si>
    <t xml:space="preserve">Insulin glargine; Insulin detemir</t>
  </si>
  <si>
    <t xml:space="preserve">Tresiba</t>
  </si>
  <si>
    <t xml:space="preserve">A10AE06</t>
  </si>
  <si>
    <t xml:space="preserve">Insulin glargine</t>
  </si>
  <si>
    <t xml:space="preserve">Long-acting insulin analogue</t>
  </si>
  <si>
    <t xml:space="preserve">100 IU/ml pen/cartridge/vial</t>
  </si>
  <si>
    <t xml:space="preserve">Insulin detemir; Insulin degludec; NPH insulin (human, lower cost)</t>
  </si>
  <si>
    <t xml:space="preserve">Lantus, Basalog, Glaritus</t>
  </si>
  <si>
    <t xml:space="preserve">Lantus, Toujeo, Basaglar</t>
  </si>
  <si>
    <t xml:space="preserve">A10AE04</t>
  </si>
  <si>
    <t xml:space="preserve">Biosimilars available — tender with interchangeability criteria.</t>
  </si>
  <si>
    <t xml:space="preserve">Insulin lispro</t>
  </si>
  <si>
    <t xml:space="preserve">Insulin aspart; Insulin glulisine; Regular human insulin</t>
  </si>
  <si>
    <t xml:space="preserve">Humalog, Lispro (biosimilar)</t>
  </si>
  <si>
    <t xml:space="preserve">Humalog, Admelog</t>
  </si>
  <si>
    <t xml:space="preserve">A10AB04</t>
  </si>
  <si>
    <t xml:space="preserve">Ipratropium</t>
  </si>
  <si>
    <t xml:space="preserve">Short-acting antimuscarinic (inhaled)</t>
  </si>
  <si>
    <t xml:space="preserve">250/500 mcg nebule; 20 mcg MDI</t>
  </si>
  <si>
    <t xml:space="preserve">Salbutamol-ipratropium combo</t>
  </si>
  <si>
    <t xml:space="preserve">Ipravent, Duolin (combo)</t>
  </si>
  <si>
    <t xml:space="preserve">Atrovent, Combivent (combo)</t>
  </si>
  <si>
    <t xml:space="preserve">R03BB01</t>
  </si>
  <si>
    <t xml:space="preserve">Iron sucrose</t>
  </si>
  <si>
    <t xml:space="preserve">100 mg/5 ml inj</t>
  </si>
  <si>
    <t xml:space="preserve">Ferric carboxymaltose; Iron dextran</t>
  </si>
  <si>
    <t xml:space="preserve">Orofer-S, Venofer</t>
  </si>
  <si>
    <t xml:space="preserve">Venofer, Iron sucrose (various)</t>
  </si>
  <si>
    <t xml:space="preserve">B03AC02</t>
  </si>
  <si>
    <t xml:space="preserve">Isoflurane</t>
  </si>
  <si>
    <t xml:space="preserve">Inhalational anaesthetic</t>
  </si>
  <si>
    <t xml:space="preserve">100/250 ml bottle</t>
  </si>
  <si>
    <t xml:space="preserve">Sevoflurane; Desflurane</t>
  </si>
  <si>
    <t xml:space="preserve">Forane, Isorane</t>
  </si>
  <si>
    <t xml:space="preserve">Forane, Isoflurane (various)</t>
  </si>
  <si>
    <t xml:space="preserve">N01AB06</t>
  </si>
  <si>
    <t xml:space="preserve">Ivermectin</t>
  </si>
  <si>
    <t xml:space="preserve">Antiparasitic</t>
  </si>
  <si>
    <t xml:space="preserve">3/6/12 mg tab</t>
  </si>
  <si>
    <t xml:space="preserve">Albendazole (helminths); Permethrin (scabies)</t>
  </si>
  <si>
    <t xml:space="preserve">Ivecop, Iverjohn</t>
  </si>
  <si>
    <t xml:space="preserve">Stromectol, Ivermectin (various)</t>
  </si>
  <si>
    <t xml:space="preserve">P02CF01</t>
  </si>
  <si>
    <t xml:space="preserve">Ketamine</t>
  </si>
  <si>
    <t xml:space="preserve">IV anaesthetic / analgesic</t>
  </si>
  <si>
    <t xml:space="preserve">50 mg/ml inj</t>
  </si>
  <si>
    <t xml:space="preserve">Propofol; Etomidate (induction)</t>
  </si>
  <si>
    <t xml:space="preserve">Ketmin, Aneket</t>
  </si>
  <si>
    <t xml:space="preserve">Ketalar, Ketamine (various)</t>
  </si>
  <si>
    <t xml:space="preserve">N01AX03</t>
  </si>
  <si>
    <t xml:space="preserve">Controlled in many markets.</t>
  </si>
  <si>
    <t xml:space="preserve">Ketorolac</t>
  </si>
  <si>
    <t xml:space="preserve">NSAID (injectable analgesic)</t>
  </si>
  <si>
    <t xml:space="preserve">30 mg/ml inj; 10 mg tab</t>
  </si>
  <si>
    <t xml:space="preserve">Diclofenac inj; Parecoxib</t>
  </si>
  <si>
    <t xml:space="preserve">Ketorol, Ketanov</t>
  </si>
  <si>
    <t xml:space="preserve">Toradol, Ketolac</t>
  </si>
  <si>
    <t xml:space="preserve">M01AB15</t>
  </si>
  <si>
    <t xml:space="preserve">Short-course use; consumption usually ED/OT.</t>
  </si>
  <si>
    <t xml:space="preserve">Lacosamide</t>
  </si>
  <si>
    <t xml:space="preserve">50/100/200 mg tab; 200 mg/20 ml inj</t>
  </si>
  <si>
    <t xml:space="preserve">Levetiracetam; Valproate</t>
  </si>
  <si>
    <t xml:space="preserve">Lacosam, Lacoset</t>
  </si>
  <si>
    <t xml:space="preserve">Vimpat</t>
  </si>
  <si>
    <t xml:space="preserve">N03AX18</t>
  </si>
  <si>
    <t xml:space="preserve">Generics in India; originator in GCC.</t>
  </si>
  <si>
    <t xml:space="preserve">Lactulose</t>
  </si>
  <si>
    <t xml:space="preserve">Osmotic laxative</t>
  </si>
  <si>
    <t xml:space="preserve">10 g/15 ml solution</t>
  </si>
  <si>
    <t xml:space="preserve">Polyethylene glycol (macrogol); Bisacodyl</t>
  </si>
  <si>
    <t xml:space="preserve">Duphalac, Looz</t>
  </si>
  <si>
    <t xml:space="preserve">Duphalac, Lactulose (various)</t>
  </si>
  <si>
    <t xml:space="preserve">A06AD11</t>
  </si>
  <si>
    <t xml:space="preserve">Latanoprost (eye)</t>
  </si>
  <si>
    <t xml:space="preserve">Prostaglandin analogue (ophthalmic)</t>
  </si>
  <si>
    <t xml:space="preserve">0.005% eye drops</t>
  </si>
  <si>
    <t xml:space="preserve">Bimatoprost; Travoprost; Timolol (different class)</t>
  </si>
  <si>
    <t xml:space="preserve">Latoprost, Xalatan</t>
  </si>
  <si>
    <t xml:space="preserve">Xalatan, Latanoprost (various)</t>
  </si>
  <si>
    <t xml:space="preserve">S01EE01</t>
  </si>
  <si>
    <t xml:space="preserve">Cold chain for some brands.</t>
  </si>
  <si>
    <t xml:space="preserve">Levetiracetam</t>
  </si>
  <si>
    <t xml:space="preserve">250/500/1000 mg tab; 500 mg/5 ml inj; syrup</t>
  </si>
  <si>
    <t xml:space="preserve">Valproate; Carbamazepine; Lacosamide</t>
  </si>
  <si>
    <t xml:space="preserve">Levipil, Levera</t>
  </si>
  <si>
    <t xml:space="preserve">Keppra, Levetiracetam (various)</t>
  </si>
  <si>
    <t xml:space="preserve">N03AX14</t>
  </si>
  <si>
    <t xml:space="preserve">IV form is the cost driver; generics now wide.</t>
  </si>
  <si>
    <t xml:space="preserve">Levocetirizine</t>
  </si>
  <si>
    <t xml:space="preserve">5 mg tab</t>
  </si>
  <si>
    <t xml:space="preserve">Cetirizine; Fexofenadine; Desloratadine</t>
  </si>
  <si>
    <t xml:space="preserve">Levocet, Xyzal</t>
  </si>
  <si>
    <t xml:space="preserve">Xyzal, Levocetirizine (various)</t>
  </si>
  <si>
    <t xml:space="preserve">R06AE09</t>
  </si>
  <si>
    <t xml:space="preserve">Levofloxacin</t>
  </si>
  <si>
    <t xml:space="preserve">500/750 mg tab; 500 mg/100 ml IV</t>
  </si>
  <si>
    <t xml:space="preserve">Moxifloxacin; Ciprofloxacin</t>
  </si>
  <si>
    <t xml:space="preserve">Levoflox, Tavanic</t>
  </si>
  <si>
    <t xml:space="preserve">Tavanic, Levox</t>
  </si>
  <si>
    <t xml:space="preserve">J01MA12</t>
  </si>
  <si>
    <t xml:space="preserve">Levothyroxine</t>
  </si>
  <si>
    <t xml:space="preserve">Thyroid hormone</t>
  </si>
  <si>
    <t xml:space="preserve">25–200 mcg tab</t>
  </si>
  <si>
    <t xml:space="preserve">(No class alternative) Liothyronine in specific cases</t>
  </si>
  <si>
    <t xml:space="preserve">Thyronorm, Eltroxin</t>
  </si>
  <si>
    <t xml:space="preserve">Euthyrox, Eltroxin, Thyroxine (various)</t>
  </si>
  <si>
    <t xml:space="preserve">H03AA01</t>
  </si>
  <si>
    <t xml:space="preserve">Narrow therapeutic index — brand switching needs clinical sign-off.</t>
  </si>
  <si>
    <t xml:space="preserve">Lidocaine</t>
  </si>
  <si>
    <t xml:space="preserve">1%/2% inj; 2% jelly; 5% patch; with adrenaline</t>
  </si>
  <si>
    <t xml:space="preserve">Bupivacaine; Ropivacaine (regional); Prilocaine</t>
  </si>
  <si>
    <t xml:space="preserve">Xylocaine, Lox</t>
  </si>
  <si>
    <t xml:space="preserve">Xylocaine, Lidocaine (various)</t>
  </si>
  <si>
    <t xml:space="preserve">N01BB02</t>
  </si>
  <si>
    <t xml:space="preserve">Linagliptin</t>
  </si>
  <si>
    <t xml:space="preserve">DPP-4 inhibitor</t>
  </si>
  <si>
    <t xml:space="preserve">Sitagliptin; Vildagliptin</t>
  </si>
  <si>
    <t xml:space="preserve">Trajenta, Linaglip</t>
  </si>
  <si>
    <t xml:space="preserve">Trajenta</t>
  </si>
  <si>
    <t xml:space="preserve">A10BH05</t>
  </si>
  <si>
    <t xml:space="preserve">Linezolid</t>
  </si>
  <si>
    <t xml:space="preserve">Oxazolidinone antibiotic</t>
  </si>
  <si>
    <t xml:space="preserve">600 mg tab; 600 mg/300 ml IV</t>
  </si>
  <si>
    <t xml:space="preserve">Vancomycin; Teicoplanin</t>
  </si>
  <si>
    <t xml:space="preserve">Linospan, Lizolid</t>
  </si>
  <si>
    <t xml:space="preserve">Zyvox, Linez</t>
  </si>
  <si>
    <t xml:space="preserve">J01XX08</t>
  </si>
  <si>
    <t xml:space="preserve">Oral bioavailability allows IV→oral switch programmes.</t>
  </si>
  <si>
    <t xml:space="preserve">Lorazepam</t>
  </si>
  <si>
    <t xml:space="preserve">1/2 mg tab; 2 mg/ml inj</t>
  </si>
  <si>
    <t xml:space="preserve">Diazepam; Midazolam (inj); Alprazolam</t>
  </si>
  <si>
    <t xml:space="preserve">Ativan, Lorivan</t>
  </si>
  <si>
    <t xml:space="preserve">Ativan</t>
  </si>
  <si>
    <t xml:space="preserve">N05BA06</t>
  </si>
  <si>
    <t xml:space="preserve">Losartan</t>
  </si>
  <si>
    <t xml:space="preserve">Angiotensin receptor blocker</t>
  </si>
  <si>
    <t xml:space="preserve">Telmisartan; Valsartan; Olmesartan; Candesartan</t>
  </si>
  <si>
    <t xml:space="preserve">Losar, Repace</t>
  </si>
  <si>
    <t xml:space="preserve">Cozaar, Losartan (various)</t>
  </si>
  <si>
    <t xml:space="preserve">C09CA01</t>
  </si>
  <si>
    <t xml:space="preserve">ARBs are class-interchangeable for most formularies.</t>
  </si>
  <si>
    <t xml:space="preserve">Magnesium sulphate</t>
  </si>
  <si>
    <t xml:space="preserve">Electrolyte / anticonvulsant (obstetrics)</t>
  </si>
  <si>
    <t xml:space="preserve">50% 2 ml, 10 ml inj</t>
  </si>
  <si>
    <t xml:space="preserve">(Indication-specific; no class alternative)</t>
  </si>
  <si>
    <t xml:space="preserve">Magnesium sulphate (various)</t>
  </si>
  <si>
    <t xml:space="preserve">B05XA05</t>
  </si>
  <si>
    <t xml:space="preserve">Meropenem</t>
  </si>
  <si>
    <t xml:space="preserve">Imipenem-cilastatin; Ertapenem (community); Piperacillin-tazobactam (step-down)</t>
  </si>
  <si>
    <t xml:space="preserve">Meronem, Merocrit, Meropen</t>
  </si>
  <si>
    <t xml:space="preserve">Meronem, Merogen</t>
  </si>
  <si>
    <t xml:space="preserve">J01DH02</t>
  </si>
  <si>
    <t xml:space="preserve">Restricted; stewardship-controlled. Large generic price spread.</t>
  </si>
  <si>
    <t xml:space="preserve">Metformin</t>
  </si>
  <si>
    <t xml:space="preserve">Biguanide antidiabetic</t>
  </si>
  <si>
    <t xml:space="preserve">500/850/1000 mg tab; 500/1000 mg XR</t>
  </si>
  <si>
    <t xml:space="preserve">(No same-class alternative) DPP-4 inhibitors or SGLT2 inhibitors as add-on per protocol</t>
  </si>
  <si>
    <t xml:space="preserve">Glycomet, Glyciphage</t>
  </si>
  <si>
    <t xml:space="preserve">Glucophage, Metformin (various)</t>
  </si>
  <si>
    <t xml:space="preserve">A10BA02</t>
  </si>
  <si>
    <t xml:space="preserve">Commodity generic — tender on landed cost per 1000 tabs.</t>
  </si>
  <si>
    <t xml:space="preserve">Methotrexate</t>
  </si>
  <si>
    <t xml:space="preserve">Antimetabolite / DMARD</t>
  </si>
  <si>
    <t xml:space="preserve">2.5/7.5/10/15 mg tab; 50 mg/2 ml, 1 g inj</t>
  </si>
  <si>
    <t xml:space="preserve">Leflunomide; Sulfasalazine (RA); (oncology: protocol-specific)</t>
  </si>
  <si>
    <t xml:space="preserve">Folitrax, Mexate</t>
  </si>
  <si>
    <t xml:space="preserve">Methotrexate (various), Metoject</t>
  </si>
  <si>
    <t xml:space="preserve">L04AX03</t>
  </si>
  <si>
    <t xml:space="preserve">High-alert; weekly dosing errors — procurement should avoid look-alike packs.</t>
  </si>
  <si>
    <t xml:space="preserve">Methylergometrine</t>
  </si>
  <si>
    <t xml:space="preserve">Uterotonic (ergot)</t>
  </si>
  <si>
    <t xml:space="preserve">0.2 mg/ml inj; 0.125 mg tab</t>
  </si>
  <si>
    <t xml:space="preserve">Oxytocin; Carbetocin</t>
  </si>
  <si>
    <t xml:space="preserve">Methergin, Ergomet</t>
  </si>
  <si>
    <t xml:space="preserve">Methergin</t>
  </si>
  <si>
    <t xml:space="preserve">G02AB01</t>
  </si>
  <si>
    <t xml:space="preserve">Methylprednisolone</t>
  </si>
  <si>
    <t xml:space="preserve">4/8/16 mg tab; 40/125/500 mg/1 g inj</t>
  </si>
  <si>
    <t xml:space="preserve">Hydrocortisone; Dexamethasone; Prednisolone</t>
  </si>
  <si>
    <t xml:space="preserve">Medrol, Solu-Medrol</t>
  </si>
  <si>
    <t xml:space="preserve">Medrol, Solu-Medrol, Depo-Medrol</t>
  </si>
  <si>
    <t xml:space="preserve">H02AB04</t>
  </si>
  <si>
    <t xml:space="preserve">Antiemetic / prokinetic</t>
  </si>
  <si>
    <t xml:space="preserve">10 mg tab; 10 mg/2 ml inj</t>
  </si>
  <si>
    <t xml:space="preserve">Domperidone; Ondansetron</t>
  </si>
  <si>
    <t xml:space="preserve">Perinorm, Reglan</t>
  </si>
  <si>
    <t xml:space="preserve">Primperan, Plasil</t>
  </si>
  <si>
    <t xml:space="preserve">A03FA01</t>
  </si>
  <si>
    <t xml:space="preserve">Metoprolol</t>
  </si>
  <si>
    <t xml:space="preserve">25/50 mg tab; 1 mg/ml inj</t>
  </si>
  <si>
    <t xml:space="preserve">Bisoprolol; Atenolol; Carvedilol</t>
  </si>
  <si>
    <t xml:space="preserve">Metolar, Betaloc</t>
  </si>
  <si>
    <t xml:space="preserve">Betaloc, Lopresor</t>
  </si>
  <si>
    <t xml:space="preserve">C07AB02</t>
  </si>
  <si>
    <t xml:space="preserve">Metronidazole</t>
  </si>
  <si>
    <t xml:space="preserve">Nitroimidazole antimicrobial</t>
  </si>
  <si>
    <t xml:space="preserve">400 mg tab; 500 mg/100 ml IV; 200 mg/5 ml susp</t>
  </si>
  <si>
    <t xml:space="preserve">Tinidazole; Ornidazole; Clindamycin (anaerobes)</t>
  </si>
  <si>
    <t xml:space="preserve">Flagyl, Metrogyl</t>
  </si>
  <si>
    <t xml:space="preserve">Flagyl, Metronid</t>
  </si>
  <si>
    <t xml:space="preserve">J01XD01</t>
  </si>
  <si>
    <t xml:space="preserve">Midazolam</t>
  </si>
  <si>
    <t xml:space="preserve">Benzodiazepine (sedation)</t>
  </si>
  <si>
    <t xml:space="preserve">1 mg/ml, 5 mg/ml inj; oral solution</t>
  </si>
  <si>
    <t xml:space="preserve">Diazepam; Lorazepam; Dexmedetomidine (ICU sedation)</t>
  </si>
  <si>
    <t xml:space="preserve">Mezolam, Midacip</t>
  </si>
  <si>
    <t xml:space="preserve">Dormicum, Midazolam (various)</t>
  </si>
  <si>
    <t xml:space="preserve">N05CD08</t>
  </si>
  <si>
    <t xml:space="preserve">Controlled; OT/ICU/endoscopy volume.</t>
  </si>
  <si>
    <t xml:space="preserve">Misoprostol</t>
  </si>
  <si>
    <t xml:space="preserve">Prostaglandin analogue</t>
  </si>
  <si>
    <t xml:space="preserve">25/100/200 mcg tab</t>
  </si>
  <si>
    <t xml:space="preserve">Dinoprostone (induction); Oxytocin (PPH)</t>
  </si>
  <si>
    <t xml:space="preserve">Misoprost, Cytolog</t>
  </si>
  <si>
    <t xml:space="preserve">Cytotec, Misoprostol (various)</t>
  </si>
  <si>
    <t xml:space="preserve">G02AD06</t>
  </si>
  <si>
    <t xml:space="preserve">Registration restrictions in some markets.</t>
  </si>
  <si>
    <t xml:space="preserve">Montelukast</t>
  </si>
  <si>
    <t xml:space="preserve">Leukotriene receptor antagonist</t>
  </si>
  <si>
    <t xml:space="preserve">4/5/10 mg tab; granules</t>
  </si>
  <si>
    <t xml:space="preserve">(No direct class alternative) ICS step-up per protocol</t>
  </si>
  <si>
    <t xml:space="preserve">Montair, Montek</t>
  </si>
  <si>
    <t xml:space="preserve">Singulair, Montelukast (various)</t>
  </si>
  <si>
    <t xml:space="preserve">R03DC03</t>
  </si>
  <si>
    <t xml:space="preserve">Morphine</t>
  </si>
  <si>
    <t xml:space="preserve">Opioid analgesic</t>
  </si>
  <si>
    <t xml:space="preserve">10 mg/ml inj; 10 mg tab</t>
  </si>
  <si>
    <t xml:space="preserve">Fentanyl; Pethidine (limited)</t>
  </si>
  <si>
    <t xml:space="preserve">Morcontin</t>
  </si>
  <si>
    <t xml:space="preserve">Morphine sulphate (various)</t>
  </si>
  <si>
    <t xml:space="preserve">N02AA01</t>
  </si>
  <si>
    <t xml:space="preserve">Narcotic — controlled procurement and storage.</t>
  </si>
  <si>
    <t xml:space="preserve">Moxifloxacin</t>
  </si>
  <si>
    <t xml:space="preserve">400 mg tab; 400 mg/250 ml IV; 0.5% eye drops</t>
  </si>
  <si>
    <t xml:space="preserve">Moxif, Moxicip</t>
  </si>
  <si>
    <t xml:space="preserve">Avelox, Vigamox (eye)</t>
  </si>
  <si>
    <t xml:space="preserve">J01MA14</t>
  </si>
  <si>
    <t xml:space="preserve">Moxifloxacin (eye)</t>
  </si>
  <si>
    <t xml:space="preserve">Fluoroquinolone (ophthalmic)</t>
  </si>
  <si>
    <t xml:space="preserve">0.5% eye drops</t>
  </si>
  <si>
    <t xml:space="preserve">Ciprofloxacin eye drops; Ofloxacin; Tobramycin</t>
  </si>
  <si>
    <t xml:space="preserve">Milflox, Mosi</t>
  </si>
  <si>
    <t xml:space="preserve">Vigamox, Moxifloxacin eye (various)</t>
  </si>
  <si>
    <t xml:space="preserve">S01AE07</t>
  </si>
  <si>
    <t xml:space="preserve">Multivitamin / B-complex</t>
  </si>
  <si>
    <t xml:space="preserve">tab; inj</t>
  </si>
  <si>
    <t xml:space="preserve">(Supplement)</t>
  </si>
  <si>
    <t xml:space="preserve">Becosules, Zincovit</t>
  </si>
  <si>
    <t xml:space="preserve">Neurobion, B-complex (various)</t>
  </si>
  <si>
    <t xml:space="preserve">A11EA</t>
  </si>
  <si>
    <t xml:space="preserve">Mupirocin</t>
  </si>
  <si>
    <t xml:space="preserve">Topical antibiotic</t>
  </si>
  <si>
    <t xml:space="preserve">2% ointment/cream</t>
  </si>
  <si>
    <t xml:space="preserve">Fusidic acid; Retapamulin</t>
  </si>
  <si>
    <t xml:space="preserve">T-Bact, Mupi</t>
  </si>
  <si>
    <t xml:space="preserve">Bactroban, Mupirocin (various)</t>
  </si>
  <si>
    <t xml:space="preserve">D06AX09</t>
  </si>
  <si>
    <t xml:space="preserve">MRSA decolonisation protocols drive volume.</t>
  </si>
  <si>
    <t xml:space="preserve">Mycophenolate mofetil</t>
  </si>
  <si>
    <t xml:space="preserve">Immunosuppressant</t>
  </si>
  <si>
    <t xml:space="preserve">250/500 mg cap/tab; 500 mg inj</t>
  </si>
  <si>
    <t xml:space="preserve">Mycophenolate sodium; Azathioprine</t>
  </si>
  <si>
    <t xml:space="preserve">Mycept, Cellmune</t>
  </si>
  <si>
    <t xml:space="preserve">CellCept, Myfortic (sodium)</t>
  </si>
  <si>
    <t xml:space="preserve">L04AA06</t>
  </si>
  <si>
    <t xml:space="preserve">Naproxen</t>
  </si>
  <si>
    <t xml:space="preserve">250 mg, 500 mg tab</t>
  </si>
  <si>
    <t xml:space="preserve">Ibuprofen; Diclofenac</t>
  </si>
  <si>
    <t xml:space="preserve">Naprosyn, Xenobid</t>
  </si>
  <si>
    <t xml:space="preserve">Naprosyn, Proxen</t>
  </si>
  <si>
    <t xml:space="preserve">M01AE02</t>
  </si>
  <si>
    <t xml:space="preserve">Neostigmine</t>
  </si>
  <si>
    <t xml:space="preserve">Cholinesterase inhibitor (reversal)</t>
  </si>
  <si>
    <t xml:space="preserve">0.5 mg/ml, 2.5 mg/ml inj</t>
  </si>
  <si>
    <t xml:space="preserve">Sugammadex (rocuronium/vecuronium)</t>
  </si>
  <si>
    <t xml:space="preserve">Myostigmin, Neostigmine (various)</t>
  </si>
  <si>
    <t xml:space="preserve">Neostigmine (various), Prostigmin</t>
  </si>
  <si>
    <t xml:space="preserve">N07AA01</t>
  </si>
  <si>
    <t xml:space="preserve">Nifedipine</t>
  </si>
  <si>
    <t xml:space="preserve">10 mg cap; 20/30/60 mg ER</t>
  </si>
  <si>
    <t xml:space="preserve">Amlodipine; Nicardipine (IV)</t>
  </si>
  <si>
    <t xml:space="preserve">Depin, Nicardia</t>
  </si>
  <si>
    <t xml:space="preserve">Adalat</t>
  </si>
  <si>
    <t xml:space="preserve">C08CA05</t>
  </si>
  <si>
    <t xml:space="preserve">Nitrofurantoin</t>
  </si>
  <si>
    <t xml:space="preserve">Urinary antibacterial</t>
  </si>
  <si>
    <t xml:space="preserve">100 mg cap</t>
  </si>
  <si>
    <t xml:space="preserve">Fosfomycin; Co-trimoxazole</t>
  </si>
  <si>
    <t xml:space="preserve">Niftas, Nitrofur</t>
  </si>
  <si>
    <t xml:space="preserve">Macrodantin, Uvamin</t>
  </si>
  <si>
    <t xml:space="preserve">J01XE01</t>
  </si>
  <si>
    <t xml:space="preserve">Noradrenaline (norepinephrine)</t>
  </si>
  <si>
    <t xml:space="preserve">Vasopressor</t>
  </si>
  <si>
    <t xml:space="preserve">2 mg/2 ml, 4 mg/4 ml inj</t>
  </si>
  <si>
    <t xml:space="preserve">Vasopressin; Dopamine; Phenylephrine</t>
  </si>
  <si>
    <t xml:space="preserve">Noradrenaline (various), Norad</t>
  </si>
  <si>
    <t xml:space="preserve">Noradrenaline (various), Levophed</t>
  </si>
  <si>
    <t xml:space="preserve">C01CA03</t>
  </si>
  <si>
    <t xml:space="preserve">ICU volume; large generic price spread.</t>
  </si>
  <si>
    <t xml:space="preserve">Olanzapine</t>
  </si>
  <si>
    <t xml:space="preserve">Atypical antipsychotic</t>
  </si>
  <si>
    <t xml:space="preserve">5/10 mg tab; 10 mg inj</t>
  </si>
  <si>
    <t xml:space="preserve">Risperidone; Quetiapine; Aripiprazole</t>
  </si>
  <si>
    <t xml:space="preserve">Oleanz, Olanex</t>
  </si>
  <si>
    <t xml:space="preserve">Zyprexa, Olanzapine (various)</t>
  </si>
  <si>
    <t xml:space="preserve">N05AH03</t>
  </si>
  <si>
    <t xml:space="preserve">Omeprazole</t>
  </si>
  <si>
    <t xml:space="preserve">20/40 mg cap; 40 mg inj</t>
  </si>
  <si>
    <t xml:space="preserve">Pantoprazole; Esomeprazole; Rabeprazole</t>
  </si>
  <si>
    <t xml:space="preserve">Omez, Ocid</t>
  </si>
  <si>
    <t xml:space="preserve">Losec, Risek</t>
  </si>
  <si>
    <t xml:space="preserve">A02BC01</t>
  </si>
  <si>
    <t xml:space="preserve">PPIs are interchangeable at class level for most formularies — single-brand tendering saves 20–40%.</t>
  </si>
  <si>
    <t xml:space="preserve">Ondansetron</t>
  </si>
  <si>
    <t xml:space="preserve">4/8 mg tab; 4 mg/2 ml inj; 2 mg/ml syrup</t>
  </si>
  <si>
    <t xml:space="preserve">Granisetron; Palonosetron (chemo); Metoclopramide</t>
  </si>
  <si>
    <t xml:space="preserve">Emeset, Ondem</t>
  </si>
  <si>
    <t xml:space="preserve">Zofran, Danset</t>
  </si>
  <si>
    <t xml:space="preserve">A04AA01</t>
  </si>
  <si>
    <t xml:space="preserve">Injection is OT/ED high-volume.</t>
  </si>
  <si>
    <t xml:space="preserve">Oseltamivir</t>
  </si>
  <si>
    <t xml:space="preserve">Antiviral (influenza)</t>
  </si>
  <si>
    <t xml:space="preserve">75 mg cap; 12 mg/ml susp</t>
  </si>
  <si>
    <t xml:space="preserve">Zanamivir (inhaled); Baloxavir (where registered)</t>
  </si>
  <si>
    <t xml:space="preserve">Fluvir, Tamiflu</t>
  </si>
  <si>
    <t xml:space="preserve">Tamiflu</t>
  </si>
  <si>
    <t xml:space="preserve">J05AH02</t>
  </si>
  <si>
    <t xml:space="preserve">Seasonal demand; avoid overstock — expiry risk.</t>
  </si>
  <si>
    <t xml:space="preserve">Oxaliplatin</t>
  </si>
  <si>
    <t xml:space="preserve">50/100 mg inj</t>
  </si>
  <si>
    <t xml:space="preserve">Oxitan, Oxalip</t>
  </si>
  <si>
    <t xml:space="preserve">Eloxatin, Oxaliplatin (various)</t>
  </si>
  <si>
    <t xml:space="preserve">L01XA03</t>
  </si>
  <si>
    <t xml:space="preserve">Uterotonic</t>
  </si>
  <si>
    <t xml:space="preserve">5 IU/ml, 10 IU/ml inj</t>
  </si>
  <si>
    <t xml:space="preserve">Carbetocin (heat-stable); Misoprostol; Methylergometrine</t>
  </si>
  <si>
    <t xml:space="preserve">Pitocin, Syntocinon</t>
  </si>
  <si>
    <t xml:space="preserve">Syntocinon, Oxytocin (various)</t>
  </si>
  <si>
    <t xml:space="preserve">H01BB02</t>
  </si>
  <si>
    <t xml:space="preserve">Cold chain — a frequent audit finding.</t>
  </si>
  <si>
    <t xml:space="preserve">Paclitaxel</t>
  </si>
  <si>
    <t xml:space="preserve">30/100/300 mg inj; nab-paclitaxel 100 mg</t>
  </si>
  <si>
    <t xml:space="preserve">Docetaxel; nab-paclitaxel (different formulation/cost)</t>
  </si>
  <si>
    <t xml:space="preserve">Intaxel, Paclitax</t>
  </si>
  <si>
    <t xml:space="preserve">Paclitaxel (various), Abraxane (nab)</t>
  </si>
  <si>
    <t xml:space="preserve">L01CD01</t>
  </si>
  <si>
    <t xml:space="preserve">Pantoprazole</t>
  </si>
  <si>
    <t xml:space="preserve">40 mg tab; 40 mg inj</t>
  </si>
  <si>
    <t xml:space="preserve">Omeprazole; Esomeprazole; Rabeprazole</t>
  </si>
  <si>
    <t xml:space="preserve">Pan, Pantocid</t>
  </si>
  <si>
    <t xml:space="preserve">Controloc, Pantozol</t>
  </si>
  <si>
    <t xml:space="preserve">A02BC02</t>
  </si>
  <si>
    <t xml:space="preserve">IV pantoprazole is a common over-use item — review IV→oral switch.</t>
  </si>
  <si>
    <t xml:space="preserve">Paracetamol</t>
  </si>
  <si>
    <t xml:space="preserve">Analgesic / antipyretic</t>
  </si>
  <si>
    <t xml:space="preserve">500 mg, 650 mg tab; 125–250 mg/5 ml syrup; 1 g/100 ml IV</t>
  </si>
  <si>
    <t xml:space="preserve">Ibuprofen; Diclofenac (NSAID class — different risk profile)</t>
  </si>
  <si>
    <t xml:space="preserve">Dolo 650, Crocin, Calpol</t>
  </si>
  <si>
    <t xml:space="preserve">Panadol, Adol, Fevadol</t>
  </si>
  <si>
    <t xml:space="preserve">N02BE01</t>
  </si>
  <si>
    <t xml:space="preserve">High-volume; IV form is the cost driver — benchmark per gram.</t>
  </si>
  <si>
    <t xml:space="preserve">Pegfilgrastim</t>
  </si>
  <si>
    <t xml:space="preserve">Long-acting G-CSF</t>
  </si>
  <si>
    <t xml:space="preserve">6 mg prefilled syringe</t>
  </si>
  <si>
    <t xml:space="preserve">Filgrastim (daily)</t>
  </si>
  <si>
    <t xml:space="preserve">Neupeg, Pegex</t>
  </si>
  <si>
    <t xml:space="preserve">Neulasta, Pelgraz (biosimilar)</t>
  </si>
  <si>
    <t xml:space="preserve">L03AA13</t>
  </si>
  <si>
    <t xml:space="preserve">Pembrolizumab</t>
  </si>
  <si>
    <t xml:space="preserve">PD-1 immunotherapy</t>
  </si>
  <si>
    <t xml:space="preserve">100 mg/4 ml inj</t>
  </si>
  <si>
    <t xml:space="preserve">Nivolumab (per indication)</t>
  </si>
  <si>
    <t xml:space="preserve">Keytruda</t>
  </si>
  <si>
    <t xml:space="preserve">L01FF02</t>
  </si>
  <si>
    <t xml:space="preserve">Very high cost; patient-access programmes affect net price.</t>
  </si>
  <si>
    <t xml:space="preserve">Perindopril</t>
  </si>
  <si>
    <t xml:space="preserve">4/8 mg tab</t>
  </si>
  <si>
    <t xml:space="preserve">Ramipril; Enalapril</t>
  </si>
  <si>
    <t xml:space="preserve">Coversyl, Perindo</t>
  </si>
  <si>
    <t xml:space="preserve">Coversyl</t>
  </si>
  <si>
    <t xml:space="preserve">C09AA04</t>
  </si>
  <si>
    <t xml:space="preserve">Permethrin</t>
  </si>
  <si>
    <t xml:space="preserve">Scabicide</t>
  </si>
  <si>
    <t xml:space="preserve">5% cream; 1% lotion</t>
  </si>
  <si>
    <t xml:space="preserve">Ivermectin (oral); Benzyl benzoate</t>
  </si>
  <si>
    <t xml:space="preserve">Permite, Scabper</t>
  </si>
  <si>
    <t xml:space="preserve">Lyclear, Permethrin (various)</t>
  </si>
  <si>
    <t xml:space="preserve">P03AC04</t>
  </si>
  <si>
    <t xml:space="preserve">Phenytoin</t>
  </si>
  <si>
    <t xml:space="preserve">100 mg cap/tab; 50 mg/ml inj</t>
  </si>
  <si>
    <t xml:space="preserve">Levetiracetam (status, loading); Fosphenytoin</t>
  </si>
  <si>
    <t xml:space="preserve">Eptoin, Dilantin</t>
  </si>
  <si>
    <t xml:space="preserve">Epanutin, Phenytoin (various)</t>
  </si>
  <si>
    <t xml:space="preserve">N03AB02</t>
  </si>
  <si>
    <t xml:space="preserve">Piperacillin-tazobactam</t>
  </si>
  <si>
    <t xml:space="preserve">Anti-pseudomonal penicillin + BLI</t>
  </si>
  <si>
    <t xml:space="preserve">2.25 g, 4.5 g inj</t>
  </si>
  <si>
    <t xml:space="preserve">Cefepime; Meropenem (reserve); Ceftazidime</t>
  </si>
  <si>
    <t xml:space="preserve">Zosyn, Piptaz, Tazact</t>
  </si>
  <si>
    <t xml:space="preserve">Tazocin, Pipzo</t>
  </si>
  <si>
    <t xml:space="preserve">J01CR05</t>
  </si>
  <si>
    <t xml:space="preserve">ICU workhorse; high-spend — verify consumption vs ICU bed-days.</t>
  </si>
  <si>
    <t xml:space="preserve">Potassium chloride</t>
  </si>
  <si>
    <t xml:space="preserve">Electrolyte</t>
  </si>
  <si>
    <t xml:space="preserve">15% 10 ml inj; 600 mg ER tab; oral solution</t>
  </si>
  <si>
    <t xml:space="preserve">(No alternative for replacement) — concentrated vials are high-alert</t>
  </si>
  <si>
    <t xml:space="preserve">KCl (various), Potklor</t>
  </si>
  <si>
    <t xml:space="preserve">KCl (various), Slow-K</t>
  </si>
  <si>
    <t xml:space="preserve">B05XA01</t>
  </si>
  <si>
    <t xml:space="preserve">High-alert medication — storage controls.</t>
  </si>
  <si>
    <t xml:space="preserve">Povidone-iodine</t>
  </si>
  <si>
    <t xml:space="preserve">5%/7.5%/10% solution; ointment; scrub</t>
  </si>
  <si>
    <t xml:space="preserve">Betadine, Wokadine</t>
  </si>
  <si>
    <t xml:space="preserve">Betadine, Povidone-iodine (various)</t>
  </si>
  <si>
    <t xml:space="preserve">D08AG02</t>
  </si>
  <si>
    <t xml:space="preserve">OT prep volume — price per litre.</t>
  </si>
  <si>
    <t xml:space="preserve">Prednisolone</t>
  </si>
  <si>
    <t xml:space="preserve">Corticosteroid (oral)</t>
  </si>
  <si>
    <t xml:space="preserve">5/10/20 mg tab; 5 mg/5 ml syrup</t>
  </si>
  <si>
    <t xml:space="preserve">Methylprednisolone; Dexamethasone; Hydrocortisone</t>
  </si>
  <si>
    <t xml:space="preserve">Omnacortil, Wysolone</t>
  </si>
  <si>
    <t xml:space="preserve">Prednisolone (various), Predsol</t>
  </si>
  <si>
    <t xml:space="preserve">H02AB06</t>
  </si>
  <si>
    <t xml:space="preserve">75/150 mg cap</t>
  </si>
  <si>
    <t xml:space="preserve">Gabapentin; Duloxetine (neuropathic pain)</t>
  </si>
  <si>
    <t xml:space="preserve">Pregalin, Lyrica</t>
  </si>
  <si>
    <t xml:space="preserve">Lyrica, Pregabalin (various)</t>
  </si>
  <si>
    <t xml:space="preserve">N02BF02</t>
  </si>
  <si>
    <t xml:space="preserve">Propofol</t>
  </si>
  <si>
    <t xml:space="preserve">IV anaesthetic</t>
  </si>
  <si>
    <t xml:space="preserve">1% 20 ml, 50 ml, 100 ml; 2%</t>
  </si>
  <si>
    <t xml:space="preserve">Etomidate; Ketamine; Thiopental (limited)</t>
  </si>
  <si>
    <t xml:space="preserve">Propovan, Fresofol, Neorof</t>
  </si>
  <si>
    <t xml:space="preserve">Diprivan, Fresofol, Propofol-Lipuro</t>
  </si>
  <si>
    <t xml:space="preserve">N01AX10</t>
  </si>
  <si>
    <t xml:space="preserve">OT volume anaesthetic; price per ml varies by presentation — benchmark on mg.</t>
  </si>
  <si>
    <t xml:space="preserve">Quetiapine</t>
  </si>
  <si>
    <t xml:space="preserve">25/100/200/300 mg tab; XR</t>
  </si>
  <si>
    <t xml:space="preserve">Olanzapine; Risperidone</t>
  </si>
  <si>
    <t xml:space="preserve">Qutipin, Seroquel</t>
  </si>
  <si>
    <t xml:space="preserve">Seroquel, Quetiapine (various)</t>
  </si>
  <si>
    <t xml:space="preserve">N05AH04</t>
  </si>
  <si>
    <t xml:space="preserve">Rabeprazole</t>
  </si>
  <si>
    <t xml:space="preserve">20 mg tab</t>
  </si>
  <si>
    <t xml:space="preserve">Pantoprazole; Omeprazole; Esomeprazole</t>
  </si>
  <si>
    <t xml:space="preserve">Razo, Rabicip</t>
  </si>
  <si>
    <t xml:space="preserve">Pariet, Rabezol</t>
  </si>
  <si>
    <t xml:space="preserve">A02BC04</t>
  </si>
  <si>
    <t xml:space="preserve">Rabies vaccine</t>
  </si>
  <si>
    <t xml:space="preserve">1 ml / 0.5 ml vial</t>
  </si>
  <si>
    <t xml:space="preserve">(Product-specific; with rabies immunoglobulin for category III)</t>
  </si>
  <si>
    <t xml:space="preserve">Rabivax-S, Abhayrab, Verorab</t>
  </si>
  <si>
    <t xml:space="preserve">Verorab, Rabipur</t>
  </si>
  <si>
    <t xml:space="preserve">J07BG01</t>
  </si>
  <si>
    <t xml:space="preserve">Ramipril</t>
  </si>
  <si>
    <t xml:space="preserve">1.25/2.5/5/10 mg cap</t>
  </si>
  <si>
    <t xml:space="preserve">Enalapril; Perindopril; Lisinopril</t>
  </si>
  <si>
    <t xml:space="preserve">Cardace, Ramistar</t>
  </si>
  <si>
    <t xml:space="preserve">Tritace, Ramipril (various)</t>
  </si>
  <si>
    <t xml:space="preserve">C09AA05</t>
  </si>
  <si>
    <t xml:space="preserve">Ranitidine</t>
  </si>
  <si>
    <t xml:space="preserve">150 mg tab; 50 mg/2 ml inj</t>
  </si>
  <si>
    <t xml:space="preserve">Famotidine; PPIs</t>
  </si>
  <si>
    <t xml:space="preserve">Aciloc, Zinetac</t>
  </si>
  <si>
    <t xml:space="preserve">Zantac (withdrawn in many markets)</t>
  </si>
  <si>
    <t xml:space="preserve">A02BA02</t>
  </si>
  <si>
    <t xml:space="preserve">Withdrawn/recalled in several markets (NDMA) — check registration status.</t>
  </si>
  <si>
    <t xml:space="preserve">Ringer lactate</t>
  </si>
  <si>
    <t xml:space="preserve">500/1000 ml</t>
  </si>
  <si>
    <t xml:space="preserve">Sodium chloride 0.9%; Plasma-Lyte</t>
  </si>
  <si>
    <t xml:space="preserve">RL (various)</t>
  </si>
  <si>
    <t xml:space="preserve">Hartmann's, RL (various)</t>
  </si>
  <si>
    <t xml:space="preserve">B05BB01</t>
  </si>
  <si>
    <t xml:space="preserve">Risperidone</t>
  </si>
  <si>
    <t xml:space="preserve">1/2/4 mg tab; oral solution</t>
  </si>
  <si>
    <t xml:space="preserve">Olanzapine; Quetiapine; Aripiprazole</t>
  </si>
  <si>
    <t xml:space="preserve">Risdone, Sizodon</t>
  </si>
  <si>
    <t xml:space="preserve">Risperdal, Risperidone (various)</t>
  </si>
  <si>
    <t xml:space="preserve">N05AX08</t>
  </si>
  <si>
    <t xml:space="preserve">Rituximab</t>
  </si>
  <si>
    <t xml:space="preserve">CD20 monoclonal antibody</t>
  </si>
  <si>
    <t xml:space="preserve">100/500 mg inj; SC 1400 mg</t>
  </si>
  <si>
    <t xml:space="preserve">Rituximab biosimilars; Obinutuzumab (specific indications)</t>
  </si>
  <si>
    <t xml:space="preserve">Reditux, Maball (biosimilars)</t>
  </si>
  <si>
    <t xml:space="preserve">MabThera, Truxima (biosimilar)</t>
  </si>
  <si>
    <t xml:space="preserve">L01FA01</t>
  </si>
  <si>
    <t xml:space="preserve">Rivaroxaban</t>
  </si>
  <si>
    <t xml:space="preserve">10/15/20 mg tab</t>
  </si>
  <si>
    <t xml:space="preserve">Apixaban; Dabigatran; Warfarin</t>
  </si>
  <si>
    <t xml:space="preserve">Xarelto, Rivaflo</t>
  </si>
  <si>
    <t xml:space="preserve">Xarelto</t>
  </si>
  <si>
    <t xml:space="preserve">B01AF01</t>
  </si>
  <si>
    <t xml:space="preserve">Rocuronium</t>
  </si>
  <si>
    <t xml:space="preserve">10 mg/ml inj (5 ml)</t>
  </si>
  <si>
    <t xml:space="preserve">Vecuronium; Atracurium; Cisatracurium</t>
  </si>
  <si>
    <t xml:space="preserve">Rocuron, Roculax</t>
  </si>
  <si>
    <t xml:space="preserve">Esmeron, Rocuronium (various)</t>
  </si>
  <si>
    <t xml:space="preserve">M03AC09</t>
  </si>
  <si>
    <t xml:space="preserve">Cold chain; sugammadex reversal is a linked cost.</t>
  </si>
  <si>
    <t xml:space="preserve">Ropivacaine</t>
  </si>
  <si>
    <t xml:space="preserve">0.2%/0.5%/0.75% inj</t>
  </si>
  <si>
    <t xml:space="preserve">Bupivacaine; Levobupivacaine</t>
  </si>
  <si>
    <t xml:space="preserve">Ropin, Ropivac</t>
  </si>
  <si>
    <t xml:space="preserve">Naropin, Ropivacaine (various)</t>
  </si>
  <si>
    <t xml:space="preserve">N01BB09</t>
  </si>
  <si>
    <t xml:space="preserve">Rosuvastatin</t>
  </si>
  <si>
    <t xml:space="preserve">5/10/20/40 mg tab</t>
  </si>
  <si>
    <t xml:space="preserve">Atorvastatin; Simvastatin</t>
  </si>
  <si>
    <t xml:space="preserve">Rosuvas, Rozat</t>
  </si>
  <si>
    <t xml:space="preserve">Crestor, Rosuvastatin (various)</t>
  </si>
  <si>
    <t xml:space="preserve">C10AA07</t>
  </si>
  <si>
    <t xml:space="preserve">Sacubitril-valsartan</t>
  </si>
  <si>
    <t xml:space="preserve">ARNI (heart failure)</t>
  </si>
  <si>
    <t xml:space="preserve">24/26, 49/51, 97/103 mg tab</t>
  </si>
  <si>
    <t xml:space="preserve">(Class-unique) ACEi/ARB + beta blocker + MRA per guideline</t>
  </si>
  <si>
    <t xml:space="preserve">Vymada, Azmarda</t>
  </si>
  <si>
    <t xml:space="preserve">Entresto</t>
  </si>
  <si>
    <t xml:space="preserve">C09DX04</t>
  </si>
  <si>
    <t xml:space="preserve">Generics in India; patent in GCC — price gap large.</t>
  </si>
  <si>
    <t xml:space="preserve">Salbutamol</t>
  </si>
  <si>
    <t xml:space="preserve">Short-acting beta-2 agonist</t>
  </si>
  <si>
    <t xml:space="preserve">100 mcg MDI; 2.5/5 mg nebule; 2 mg tab</t>
  </si>
  <si>
    <t xml:space="preserve">Levosalbutamol; Terbutaline</t>
  </si>
  <si>
    <t xml:space="preserve">Asthalin, Levolin (levo)</t>
  </si>
  <si>
    <t xml:space="preserve">Ventolin, Salbutamol (various)</t>
  </si>
  <si>
    <t xml:space="preserve">R03AC02</t>
  </si>
  <si>
    <t xml:space="preserve">Nebules: high-volume paediatric/ED item.</t>
  </si>
  <si>
    <t xml:space="preserve">Sertraline</t>
  </si>
  <si>
    <t xml:space="preserve">50/100 mg tab</t>
  </si>
  <si>
    <t xml:space="preserve">Escitalopram; Fluoxetine; Paroxetine</t>
  </si>
  <si>
    <t xml:space="preserve">Zoloft, Serta</t>
  </si>
  <si>
    <t xml:space="preserve">Zoloft, Lustral</t>
  </si>
  <si>
    <t xml:space="preserve">N06AB06</t>
  </si>
  <si>
    <t xml:space="preserve">Sevoflurane</t>
  </si>
  <si>
    <t xml:space="preserve">250 ml bottle</t>
  </si>
  <si>
    <t xml:space="preserve">Isoflurane; Desflurane</t>
  </si>
  <si>
    <t xml:space="preserve">Sevorane, Sojourn</t>
  </si>
  <si>
    <t xml:space="preserve">Sevorane, Sevoflurane (various)</t>
  </si>
  <si>
    <t xml:space="preserve">N01AB08</t>
  </si>
  <si>
    <t xml:space="preserve">Benchmark per ml; vaporiser compatibility matters.</t>
  </si>
  <si>
    <t xml:space="preserve">Silver sulfadiazine</t>
  </si>
  <si>
    <t xml:space="preserve">Topical antibacterial (burns)</t>
  </si>
  <si>
    <t xml:space="preserve">1% cream</t>
  </si>
  <si>
    <t xml:space="preserve">Mupirocin (different indication); Honey-based dressings</t>
  </si>
  <si>
    <t xml:space="preserve">Silverex, SSD</t>
  </si>
  <si>
    <t xml:space="preserve">Flamazine, Silvadene</t>
  </si>
  <si>
    <t xml:space="preserve">D06BA01</t>
  </si>
  <si>
    <t xml:space="preserve">Simvastatin</t>
  </si>
  <si>
    <t xml:space="preserve">10/20/40 mg tab</t>
  </si>
  <si>
    <t xml:space="preserve">Atorvastatin; Rosuvastatin</t>
  </si>
  <si>
    <t xml:space="preserve">Simvotin, Simcard</t>
  </si>
  <si>
    <t xml:space="preserve">Zocor, Simvastatin (various)</t>
  </si>
  <si>
    <t xml:space="preserve">C10AA01</t>
  </si>
  <si>
    <t xml:space="preserve">Sitagliptin</t>
  </si>
  <si>
    <t xml:space="preserve">Vildagliptin; Linagliptin; Teneligliptin (India)</t>
  </si>
  <si>
    <t xml:space="preserve">Januvia, Sitaglu</t>
  </si>
  <si>
    <t xml:space="preserve">Januvia, Janumet (combo)</t>
  </si>
  <si>
    <t xml:space="preserve">A10BH01</t>
  </si>
  <si>
    <t xml:space="preserve">Patent expiry has opened generics in India — large price drop.</t>
  </si>
  <si>
    <t xml:space="preserve">Sodium chloride 0.9%</t>
  </si>
  <si>
    <t xml:space="preserve">100/250/500/1000 ml bags and bottles</t>
  </si>
  <si>
    <t xml:space="preserve">Ringer lactate; Plasma-Lyte / balanced crystalloids</t>
  </si>
  <si>
    <t xml:space="preserve">Normal saline (various)</t>
  </si>
  <si>
    <t xml:space="preserve">Largest-volume pharmacy SKU — freight and bag format drive landed cost.</t>
  </si>
  <si>
    <t xml:space="preserve">Sodium valproate</t>
  </si>
  <si>
    <t xml:space="preserve">200/500 mg tab (CR); 200 mg/5 ml syrup; 100 mg/ml inj</t>
  </si>
  <si>
    <t xml:space="preserve">Levetiracetam; Carbamazepine; Lamotrigine</t>
  </si>
  <si>
    <t xml:space="preserve">Valparin, Encorate</t>
  </si>
  <si>
    <t xml:space="preserve">Depakine, Epilim</t>
  </si>
  <si>
    <t xml:space="preserve">N03AG01</t>
  </si>
  <si>
    <t xml:space="preserve">Spironolactone</t>
  </si>
  <si>
    <t xml:space="preserve">Aldosterone antagonist</t>
  </si>
  <si>
    <t xml:space="preserve">25/50 mg tab</t>
  </si>
  <si>
    <t xml:space="preserve">Eplerenone</t>
  </si>
  <si>
    <t xml:space="preserve">Aldactone, Spiromide (combo)</t>
  </si>
  <si>
    <t xml:space="preserve">Aldactone</t>
  </si>
  <si>
    <t xml:space="preserve">C03DA01</t>
  </si>
  <si>
    <t xml:space="preserve">Sugammadex</t>
  </si>
  <si>
    <t xml:space="preserve">NMB reversal agent</t>
  </si>
  <si>
    <t xml:space="preserve">100 mg/ml (2 ml, 5 ml)</t>
  </si>
  <si>
    <t xml:space="preserve">Neostigmine + glycopyrrolate</t>
  </si>
  <si>
    <t xml:space="preserve">Bridion, Sugamadex (generics)</t>
  </si>
  <si>
    <t xml:space="preserve">Bridion</t>
  </si>
  <si>
    <t xml:space="preserve">V03AB35</t>
  </si>
  <si>
    <t xml:space="preserve">High-cost; usage policy drives spend.</t>
  </si>
  <si>
    <t xml:space="preserve">Tacrolimus</t>
  </si>
  <si>
    <t xml:space="preserve">Calcineurin inhibitor (immunosuppressant)</t>
  </si>
  <si>
    <t xml:space="preserve">0.5/1/5 mg cap; 0.03/0.1% ointment</t>
  </si>
  <si>
    <t xml:space="preserve">Cyclosporine; Sirolimus; Everolimus</t>
  </si>
  <si>
    <t xml:space="preserve">Pangraf, Tacroz (topical)</t>
  </si>
  <si>
    <t xml:space="preserve">Prograf, Advagraf, Protopic (topical)</t>
  </si>
  <si>
    <t xml:space="preserve">L04AD02</t>
  </si>
  <si>
    <t xml:space="preserve">Narrow therapeutic index — brand consistency per patient.</t>
  </si>
  <si>
    <t xml:space="preserve">Teicoplanin</t>
  </si>
  <si>
    <t xml:space="preserve">Glycopeptide antibiotic</t>
  </si>
  <si>
    <t xml:space="preserve">200/400 mg inj</t>
  </si>
  <si>
    <t xml:space="preserve">Vancomycin; Linezolid</t>
  </si>
  <si>
    <t xml:space="preserve">Targocid, Ticocin</t>
  </si>
  <si>
    <t xml:space="preserve">Targocid</t>
  </si>
  <si>
    <t xml:space="preserve">J01XA02</t>
  </si>
  <si>
    <t xml:space="preserve">Telmisartan</t>
  </si>
  <si>
    <t xml:space="preserve">20/40/80 mg tab</t>
  </si>
  <si>
    <t xml:space="preserve">Losartan; Valsartan; Olmesartan</t>
  </si>
  <si>
    <t xml:space="preserve">Telma, Telmikind</t>
  </si>
  <si>
    <t xml:space="preserve">Micardis, Telmisartan (various)</t>
  </si>
  <si>
    <t xml:space="preserve">C09CA07</t>
  </si>
  <si>
    <t xml:space="preserve">Terbinafine</t>
  </si>
  <si>
    <t xml:space="preserve">Antifungal</t>
  </si>
  <si>
    <t xml:space="preserve">250 mg tab; 1% cream</t>
  </si>
  <si>
    <t xml:space="preserve">Itraconazole; Fluconazole; Clotrimazole (topical)</t>
  </si>
  <si>
    <t xml:space="preserve">Terbicip, Sebifin</t>
  </si>
  <si>
    <t xml:space="preserve">Lamisil, Terbinafine (various)</t>
  </si>
  <si>
    <t xml:space="preserve">D01BA02</t>
  </si>
  <si>
    <t xml:space="preserve">Tetanus toxoid / Td</t>
  </si>
  <si>
    <t xml:space="preserve">0.5 ml inj</t>
  </si>
  <si>
    <t xml:space="preserve">Tdap (with pertussis)</t>
  </si>
  <si>
    <t xml:space="preserve">TT (various), Td</t>
  </si>
  <si>
    <t xml:space="preserve">Td, Tdap (Boostrix, Adacel)</t>
  </si>
  <si>
    <t xml:space="preserve">J07AM01</t>
  </si>
  <si>
    <t xml:space="preserve">Ticagrelor</t>
  </si>
  <si>
    <t xml:space="preserve">90 mg tab</t>
  </si>
  <si>
    <t xml:space="preserve">Clopidogrel; Prasugrel</t>
  </si>
  <si>
    <t xml:space="preserve">Brilinta, Ticaflo</t>
  </si>
  <si>
    <t xml:space="preserve">Brilinta</t>
  </si>
  <si>
    <t xml:space="preserve">B01AC24</t>
  </si>
  <si>
    <t xml:space="preserve">Generics in India; cath-lab protocol driven.</t>
  </si>
  <si>
    <t xml:space="preserve">Timolol (eye)</t>
  </si>
  <si>
    <t xml:space="preserve">Beta blocker (ophthalmic)</t>
  </si>
  <si>
    <t xml:space="preserve">Betaxolol; Latanoprost (prostaglandin class); Dorzolamide-timolol combo</t>
  </si>
  <si>
    <t xml:space="preserve">Timolet, Iotim</t>
  </si>
  <si>
    <t xml:space="preserve">Timoptol, Timolol (various)</t>
  </si>
  <si>
    <t xml:space="preserve">S01ED01</t>
  </si>
  <si>
    <t xml:space="preserve">Tiotropium</t>
  </si>
  <si>
    <t xml:space="preserve">Long-acting antimuscarinic (inhaled)</t>
  </si>
  <si>
    <t xml:space="preserve">18 mcg capsule inhaler; 2.5 mcg Respimat</t>
  </si>
  <si>
    <t xml:space="preserve">Glycopyrronium (inhaled); Umeclidinium; Aclidinium</t>
  </si>
  <si>
    <t xml:space="preserve">Tiova, Tiomate</t>
  </si>
  <si>
    <t xml:space="preserve">Spiriva</t>
  </si>
  <si>
    <t xml:space="preserve">R03BB04</t>
  </si>
  <si>
    <t xml:space="preserve">Tocilizumab</t>
  </si>
  <si>
    <t xml:space="preserve">IL-6 inhibitor</t>
  </si>
  <si>
    <t xml:space="preserve">80/200/400 mg inj; SC 162 mg</t>
  </si>
  <si>
    <t xml:space="preserve">Sarilumab; Baricitinib (JAK, different class)</t>
  </si>
  <si>
    <t xml:space="preserve">Actemra, Tocilizumab (biosimilars emerging)</t>
  </si>
  <si>
    <t xml:space="preserve">Actemra, RoActemra</t>
  </si>
  <si>
    <t xml:space="preserve">L04AC07</t>
  </si>
  <si>
    <t xml:space="preserve">Torsemide</t>
  </si>
  <si>
    <t xml:space="preserve">10/20 mg tab; 20 mg/2 ml inj</t>
  </si>
  <si>
    <t xml:space="preserve">Furosemide; Bumetanide</t>
  </si>
  <si>
    <t xml:space="preserve">Dytor, Tide</t>
  </si>
  <si>
    <t xml:space="preserve">Torem, Torsemide (various)</t>
  </si>
  <si>
    <t xml:space="preserve">C03CA04</t>
  </si>
  <si>
    <t xml:space="preserve">Tramadol</t>
  </si>
  <si>
    <t xml:space="preserve">50 mg cap; 100 mg/2 ml inj</t>
  </si>
  <si>
    <t xml:space="preserve">Tapentadol; Codeine combinations (regulated)</t>
  </si>
  <si>
    <t xml:space="preserve">Ultracet (with paracetamol), Tramazac</t>
  </si>
  <si>
    <t xml:space="preserve">Tramal, Zydol</t>
  </si>
  <si>
    <t xml:space="preserve">N02AX02</t>
  </si>
  <si>
    <t xml:space="preserve">Controlled in UAE — narcotic licensing applies.</t>
  </si>
  <si>
    <t xml:space="preserve">Tranexamic acid</t>
  </si>
  <si>
    <t xml:space="preserve">Antifibrinolytic</t>
  </si>
  <si>
    <t xml:space="preserve">500 mg tab; 500 mg/5 ml inj</t>
  </si>
  <si>
    <t xml:space="preserve">Aminocaproic acid</t>
  </si>
  <si>
    <t xml:space="preserve">Pause, Trapic</t>
  </si>
  <si>
    <t xml:space="preserve">Cyklokapron, Tranexamic acid (various)</t>
  </si>
  <si>
    <t xml:space="preserve">B02AA02</t>
  </si>
  <si>
    <t xml:space="preserve">OT and obstetrics volume item.</t>
  </si>
  <si>
    <t xml:space="preserve">Trastuzumab</t>
  </si>
  <si>
    <t xml:space="preserve">HER2 monoclonal antibody</t>
  </si>
  <si>
    <t xml:space="preserve">150/440 mg inj; SC 600 mg</t>
  </si>
  <si>
    <t xml:space="preserve">Trastuzumab biosimilars; Pertuzumab (add-on)</t>
  </si>
  <si>
    <t xml:space="preserve">Herclon, Hertraz, Canmab (biosimilars)</t>
  </si>
  <si>
    <t xml:space="preserve">Herceptin, Ogivri/Kanjinti (biosimilars)</t>
  </si>
  <si>
    <t xml:space="preserve">L01FD01</t>
  </si>
  <si>
    <t xml:space="preserve">Biosimilar tendering is the single biggest oncology saving.</t>
  </si>
  <si>
    <t xml:space="preserve">Tropicamide (eye)</t>
  </si>
  <si>
    <t xml:space="preserve">Mydriatic</t>
  </si>
  <si>
    <t xml:space="preserve">1% eye drops; with phenylephrine</t>
  </si>
  <si>
    <t xml:space="preserve">Cyclopentolate; Phenylephrine</t>
  </si>
  <si>
    <t xml:space="preserve">Tropicacyl, Tropac</t>
  </si>
  <si>
    <t xml:space="preserve">Mydriacyl, Tropicamide (various)</t>
  </si>
  <si>
    <t xml:space="preserve">S01FA06</t>
  </si>
  <si>
    <t xml:space="preserve">OPD consumable — multi-dose vs single-dose decides price.</t>
  </si>
  <si>
    <t xml:space="preserve">Ultrasound gel</t>
  </si>
  <si>
    <t xml:space="preserve">Consumable (not a drug)</t>
  </si>
  <si>
    <t xml:space="preserve">250 ml, 5 l</t>
  </si>
  <si>
    <t xml:space="preserve">(Commodity)</t>
  </si>
  <si>
    <t xml:space="preserve">Various</t>
  </si>
  <si>
    <t xml:space="preserve">—</t>
  </si>
  <si>
    <t xml:space="preserve">Commodity; often mis-filed under pharmacy — move to consumables tender.</t>
  </si>
  <si>
    <t xml:space="preserve">Valsartan</t>
  </si>
  <si>
    <t xml:space="preserve">40/80/160 mg tab</t>
  </si>
  <si>
    <t xml:space="preserve">Losartan; Telmisartan; Olmesartan</t>
  </si>
  <si>
    <t xml:space="preserve">Valzaar, Valent</t>
  </si>
  <si>
    <t xml:space="preserve">Diovan, Valsartan (various)</t>
  </si>
  <si>
    <t xml:space="preserve">C09CA03</t>
  </si>
  <si>
    <t xml:space="preserve">Vancomycin</t>
  </si>
  <si>
    <t xml:space="preserve">500 mg, 1 g inj; 125/250 mg cap</t>
  </si>
  <si>
    <t xml:space="preserve">Teicoplanin; Linezolid (per indication)</t>
  </si>
  <si>
    <t xml:space="preserve">Vancocin, Vanlid</t>
  </si>
  <si>
    <t xml:space="preserve">Vancocin, Vancomycin (various)</t>
  </si>
  <si>
    <t xml:space="preserve">J01XA01</t>
  </si>
  <si>
    <t xml:space="preserve">Level monitoring — reagent cost sits in lab budget.</t>
  </si>
  <si>
    <t xml:space="preserve">Vecuronium</t>
  </si>
  <si>
    <t xml:space="preserve">4/10 mg inj (powder)</t>
  </si>
  <si>
    <t xml:space="preserve">Rocuronium; Atracurium</t>
  </si>
  <si>
    <t xml:space="preserve">Vecuron, Norcuron</t>
  </si>
  <si>
    <t xml:space="preserve">Norcuron, Vecuronium (various)</t>
  </si>
  <si>
    <t xml:space="preserve">M03AC03</t>
  </si>
  <si>
    <t xml:space="preserve">Room-temperature powder — logistics advantage.</t>
  </si>
  <si>
    <t xml:space="preserve">Vitamin D3 (cholecalciferol)</t>
  </si>
  <si>
    <t xml:space="preserve">60,000 IU sachet/cap; 1000/2000 IU; 600,000 IU inj</t>
  </si>
  <si>
    <t xml:space="preserve">Calcitriol / alfacalcidol (active forms, renal)</t>
  </si>
  <si>
    <t xml:space="preserve">Calcirol, D-Rise, Uprise-D3</t>
  </si>
  <si>
    <t xml:space="preserve">Vi-De 3, Cholecalciferol (various)</t>
  </si>
  <si>
    <t xml:space="preserve">A11CC05</t>
  </si>
  <si>
    <t xml:space="preserve">Sachet pack format drives Indian pricing.</t>
  </si>
  <si>
    <t xml:space="preserve">Voriconazole</t>
  </si>
  <si>
    <t xml:space="preserve">200 mg tab; 200 mg inj</t>
  </si>
  <si>
    <t xml:space="preserve">Posaconazole; Amphotericin B (liposomal)</t>
  </si>
  <si>
    <t xml:space="preserve">Vfend, Voritek</t>
  </si>
  <si>
    <t xml:space="preserve">Vfend</t>
  </si>
  <si>
    <t xml:space="preserve">J02AC03</t>
  </si>
  <si>
    <t xml:space="preserve">High-cost; IV vial price varies 3× across suppliers.</t>
  </si>
  <si>
    <t xml:space="preserve">Warfarin</t>
  </si>
  <si>
    <t xml:space="preserve">Vitamin K antagonist</t>
  </si>
  <si>
    <t xml:space="preserve">1/2/5 mg tab</t>
  </si>
  <si>
    <t xml:space="preserve">Acenocoumarol; DOACs (apixaban, rivaroxaban)</t>
  </si>
  <si>
    <t xml:space="preserve">Warf, Uniwarfin</t>
  </si>
  <si>
    <t xml:space="preserve">Marevan, Coumadin</t>
  </si>
  <si>
    <t xml:space="preserve">B01AA03</t>
  </si>
  <si>
    <t xml:space="preserve">Water for injection</t>
  </si>
  <si>
    <t xml:space="preserve">Diluent</t>
  </si>
  <si>
    <t xml:space="preserve">5/10 ml ampoule; 100/500 ml</t>
  </si>
  <si>
    <t xml:space="preserve">Sodium chloride 0.9% (where appropriate)</t>
  </si>
  <si>
    <t xml:space="preserve">WFI (various)</t>
  </si>
  <si>
    <t xml:space="preserve">V07AB</t>
  </si>
  <si>
    <t xml:space="preserve">Highest-count SKU in many pharmacies; pack format decides price.</t>
  </si>
  <si>
    <t xml:space="preserve">Bisphosphonate</t>
  </si>
  <si>
    <t xml:space="preserve">4 mg/5 ml (oncology); 5 mg/100 ml (osteoporosis)</t>
  </si>
  <si>
    <t xml:space="preserve">Denosumab; Pamidronate; Ibandronate</t>
  </si>
  <si>
    <t xml:space="preserve">Zoldria, Natzold</t>
  </si>
  <si>
    <t xml:space="preserve">Zometa, Aclasta</t>
  </si>
  <si>
    <t xml:space="preserve">M05BA08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</si>
</sst>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4721B"/>
      <name val="Calibri"/>
      <family val="0"/>
      <charset val="1"/>
    </font>
    <font>
      <b val="true"/>
      <sz val="26"/>
      <color rgb="FF141414"/>
      <name val="Calibri"/>
      <family val="0"/>
      <charset val="1"/>
    </font>
    <font>
      <b val="true"/>
      <sz val="11"/>
      <color rgb="FFF4721B"/>
      <name val="Cambria"/>
      <family val="0"/>
      <charset val="1"/>
    </font>
    <font>
      <b val="true"/>
      <sz val="18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77777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14141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14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21B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rugs" displayName="Drugs" ref="A1:H228" headerRowCount="1" totalsRowCount="0" totalsRowShown="0">
  <autoFilter ref="A1:H228"/>
  <tableColumns count="8">
    <tableColumn id="1" name="Generic"/>
    <tableColumn id="2" name="Therapeutic class"/>
    <tableColumn id="3" name="Common forms &amp; strengths"/>
    <tableColumn id="4" name="Alternatives (same class / therapeutic)"/>
    <tableColumn id="5" name="Brand examples — India"/>
    <tableColumn id="6" name="Brand examples — UAE / GCC"/>
    <tableColumn id="7" name="ATC"/>
    <tableColumn id="8" name="Procurement 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" t="s">
        <v>0</v>
      </c>
    </row>
    <row r="3" customFormat="false" ht="31.5" hidden="false" customHeight="false" outlineLevel="0" collapsed="false">
      <c r="B3" s="2" t="s">
        <v>1</v>
      </c>
    </row>
    <row r="4" customFormat="false" ht="33.75" hidden="false" customHeight="true" outlineLevel="0" collapsed="false">
      <c r="B4" s="3" t="s">
        <v>2</v>
      </c>
    </row>
    <row r="6" customFormat="false" ht="18" hidden="false" customHeight="true" outlineLevel="0" collapsed="false">
      <c r="B6" s="4" t="s">
        <v>3</v>
      </c>
    </row>
    <row r="7" customFormat="false" ht="48" hidden="false" customHeight="true" outlineLevel="0" collapsed="false">
      <c r="B7" s="5" t="s">
        <v>4</v>
      </c>
    </row>
    <row r="8" customFormat="false" ht="48" hidden="false" customHeight="true" outlineLevel="0" collapsed="false">
      <c r="B8" s="5" t="s">
        <v>5</v>
      </c>
    </row>
    <row r="9" customFormat="false" ht="4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/>
    </row>
    <row r="11" customFormat="false" ht="18" hidden="false" customHeight="true" outlineLevel="0" collapsed="false">
      <c r="B11" s="4" t="s">
        <v>7</v>
      </c>
    </row>
    <row r="12" customFormat="false" ht="48" hidden="false" customHeight="true" outlineLevel="0" collapsed="false">
      <c r="B12" s="5" t="s">
        <v>8</v>
      </c>
    </row>
    <row r="13" customFormat="false" ht="48" hidden="false" customHeight="true" outlineLevel="0" collapsed="false">
      <c r="B13" s="5" t="s">
        <v>9</v>
      </c>
    </row>
    <row r="14" customFormat="false" ht="18" hidden="false" customHeight="true" outlineLevel="0" collapsed="false">
      <c r="B14" s="5"/>
    </row>
    <row r="15" customFormat="false" ht="18" hidden="false" customHeight="true" outlineLevel="0" collapsed="false">
      <c r="B15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7" min="6" style="0" width="32"/>
    <col collapsed="false" customWidth="true" hidden="false" outlineLevel="0" max="8" min="8" style="0" width="10"/>
    <col collapsed="false" customWidth="true" hidden="false" outlineLevel="0" max="9" min="9" style="0" width="52"/>
  </cols>
  <sheetData>
    <row r="1" customFormat="false" ht="22.05" hidden="false" customHeight="false" outlineLevel="0" collapsed="false">
      <c r="B1" s="6" t="s">
        <v>1</v>
      </c>
    </row>
    <row r="2" customFormat="false" ht="15" hidden="false" customHeight="false" outlineLevel="0" collapsed="false">
      <c r="B2" s="7" t="s">
        <v>11</v>
      </c>
    </row>
    <row r="3" customFormat="false" ht="17.35" hidden="false" customHeight="false" outlineLevel="0" collapsed="false">
      <c r="B3" s="8" t="s">
        <v>12</v>
      </c>
      <c r="C3" s="9" t="str">
        <f aca="false">IF(B3="","Enter a search term",COUNTIF(Data!$I:$I,TRUE())&amp;" match(es)")</f>
        <v>4 match(es)</v>
      </c>
    </row>
    <row r="5" customFormat="false" ht="30" hidden="false" customHeight="true" outlineLevel="0" collapsed="false"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20</v>
      </c>
    </row>
    <row r="6" customFormat="false" ht="48" hidden="false" customHeight="true" outlineLevel="0" collapsed="false">
      <c r="B6" s="11" t="str">
        <f aca="false">IFERROR(INDEX(Data!$A$2:$A$228,MATCH(1,Data!$J$2:$J$228,0)),"")</f>
        <v>Esomeprazole</v>
      </c>
      <c r="C6" s="12" t="str">
        <f aca="false">IFERROR(INDEX(Data!$B$2:$B$228,MATCH(1,Data!$J$2:$J$228,0)),"")</f>
        <v>Proton pump inhibitor</v>
      </c>
      <c r="D6" s="12" t="str">
        <f aca="false">IFERROR(INDEX(Data!$C$2:$C$228,MATCH(1,Data!$J$2:$J$228,0)),"")</f>
        <v>20/40 mg tab; 40 mg inj</v>
      </c>
      <c r="E6" s="12" t="str">
        <f aca="false">IFERROR(INDEX(Data!$D$2:$D$228,MATCH(1,Data!$J$2:$J$228,0)),"")</f>
        <v>Pantoprazole; Omeprazole; Rabeprazole</v>
      </c>
      <c r="F6" s="12" t="str">
        <f aca="false">IFERROR(INDEX(Data!$E$2:$E$228,MATCH(1,Data!$J$2:$J$228,0)),"")</f>
        <v>Nexpro, Esoz</v>
      </c>
      <c r="G6" s="12" t="str">
        <f aca="false">IFERROR(INDEX(Data!$F$2:$F$228,MATCH(1,Data!$J$2:$J$228,0)),"")</f>
        <v>Nexium, Esomax</v>
      </c>
      <c r="H6" s="12" t="str">
        <f aca="false">IFERROR(INDEX(Data!$G$2:$G$228,MATCH(1,Data!$J$2:$J$228,0)),"")</f>
        <v>A02BC05</v>
      </c>
      <c r="I6" s="12" t="n">
        <f aca="false">IFERROR(INDEX(Data!$H$2:$H$228,MATCH(1,Data!$J$2:$J$228,0)),"")</f>
        <v>0</v>
      </c>
    </row>
    <row r="7" customFormat="false" ht="48" hidden="false" customHeight="true" outlineLevel="0" collapsed="false">
      <c r="B7" s="11" t="str">
        <f aca="false">IFERROR(INDEX(Data!$A$2:$A$228,MATCH(2,Data!$J$2:$J$228,0)),"")</f>
        <v>Omeprazole</v>
      </c>
      <c r="C7" s="12" t="str">
        <f aca="false">IFERROR(INDEX(Data!$B$2:$B$228,MATCH(2,Data!$J$2:$J$228,0)),"")</f>
        <v>Proton pump inhibitor</v>
      </c>
      <c r="D7" s="12" t="str">
        <f aca="false">IFERROR(INDEX(Data!$C$2:$C$228,MATCH(2,Data!$J$2:$J$228,0)),"")</f>
        <v>20/40 mg cap; 40 mg inj</v>
      </c>
      <c r="E7" s="12" t="str">
        <f aca="false">IFERROR(INDEX(Data!$D$2:$D$228,MATCH(2,Data!$J$2:$J$228,0)),"")</f>
        <v>Pantoprazole; Esomeprazole; Rabeprazole</v>
      </c>
      <c r="F7" s="12" t="str">
        <f aca="false">IFERROR(INDEX(Data!$E$2:$E$228,MATCH(2,Data!$J$2:$J$228,0)),"")</f>
        <v>Omez, Ocid</v>
      </c>
      <c r="G7" s="12" t="str">
        <f aca="false">IFERROR(INDEX(Data!$F$2:$F$228,MATCH(2,Data!$J$2:$J$228,0)),"")</f>
        <v>Losec, Risek</v>
      </c>
      <c r="H7" s="12" t="str">
        <f aca="false">IFERROR(INDEX(Data!$G$2:$G$228,MATCH(2,Data!$J$2:$J$228,0)),"")</f>
        <v>A02BC01</v>
      </c>
      <c r="I7" s="12" t="str">
        <f aca="false">IFERROR(INDEX(Data!$H$2:$H$228,MATCH(2,Data!$J$2:$J$228,0)),"")</f>
        <v>PPIs are interchangeable at class level for most formularies — single-brand tendering saves 20–40%.</v>
      </c>
    </row>
    <row r="8" customFormat="false" ht="48" hidden="false" customHeight="true" outlineLevel="0" collapsed="false">
      <c r="B8" s="11" t="str">
        <f aca="false">IFERROR(INDEX(Data!$A$2:$A$228,MATCH(3,Data!$J$2:$J$228,0)),"")</f>
        <v>Pantoprazole</v>
      </c>
      <c r="C8" s="12" t="str">
        <f aca="false">IFERROR(INDEX(Data!$B$2:$B$228,MATCH(3,Data!$J$2:$J$228,0)),"")</f>
        <v>Proton pump inhibitor</v>
      </c>
      <c r="D8" s="12" t="str">
        <f aca="false">IFERROR(INDEX(Data!$C$2:$C$228,MATCH(3,Data!$J$2:$J$228,0)),"")</f>
        <v>40 mg tab; 40 mg inj</v>
      </c>
      <c r="E8" s="12" t="str">
        <f aca="false">IFERROR(INDEX(Data!$D$2:$D$228,MATCH(3,Data!$J$2:$J$228,0)),"")</f>
        <v>Omeprazole; Esomeprazole; Rabeprazole</v>
      </c>
      <c r="F8" s="12" t="str">
        <f aca="false">IFERROR(INDEX(Data!$E$2:$E$228,MATCH(3,Data!$J$2:$J$228,0)),"")</f>
        <v>Pan, Pantocid</v>
      </c>
      <c r="G8" s="12" t="str">
        <f aca="false">IFERROR(INDEX(Data!$F$2:$F$228,MATCH(3,Data!$J$2:$J$228,0)),"")</f>
        <v>Controloc, Pantozol</v>
      </c>
      <c r="H8" s="12" t="str">
        <f aca="false">IFERROR(INDEX(Data!$G$2:$G$228,MATCH(3,Data!$J$2:$J$228,0)),"")</f>
        <v>A02BC02</v>
      </c>
      <c r="I8" s="12" t="str">
        <f aca="false">IFERROR(INDEX(Data!$H$2:$H$228,MATCH(3,Data!$J$2:$J$228,0)),"")</f>
        <v>IV pantoprazole is a common over-use item — review IV→oral switch.</v>
      </c>
    </row>
    <row r="9" customFormat="false" ht="48" hidden="false" customHeight="true" outlineLevel="0" collapsed="false">
      <c r="B9" s="11" t="str">
        <f aca="false">IFERROR(INDEX(Data!$A$2:$A$228,MATCH(4,Data!$J$2:$J$228,0)),"")</f>
        <v>Rabeprazole</v>
      </c>
      <c r="C9" s="12" t="str">
        <f aca="false">IFERROR(INDEX(Data!$B$2:$B$228,MATCH(4,Data!$J$2:$J$228,0)),"")</f>
        <v>Proton pump inhibitor</v>
      </c>
      <c r="D9" s="12" t="str">
        <f aca="false">IFERROR(INDEX(Data!$C$2:$C$228,MATCH(4,Data!$J$2:$J$228,0)),"")</f>
        <v>20 mg tab</v>
      </c>
      <c r="E9" s="12" t="str">
        <f aca="false">IFERROR(INDEX(Data!$D$2:$D$228,MATCH(4,Data!$J$2:$J$228,0)),"")</f>
        <v>Pantoprazole; Omeprazole; Esomeprazole</v>
      </c>
      <c r="F9" s="12" t="str">
        <f aca="false">IFERROR(INDEX(Data!$E$2:$E$228,MATCH(4,Data!$J$2:$J$228,0)),"")</f>
        <v>Razo, Rabicip</v>
      </c>
      <c r="G9" s="12" t="str">
        <f aca="false">IFERROR(INDEX(Data!$F$2:$F$228,MATCH(4,Data!$J$2:$J$228,0)),"")</f>
        <v>Pariet, Rabezol</v>
      </c>
      <c r="H9" s="12" t="str">
        <f aca="false">IFERROR(INDEX(Data!$G$2:$G$228,MATCH(4,Data!$J$2:$J$228,0)),"")</f>
        <v>A02BC04</v>
      </c>
      <c r="I9" s="12" t="n">
        <f aca="false">IFERROR(INDEX(Data!$H$2:$H$228,MATCH(4,Data!$J$2:$J$228,0)),"")</f>
        <v>0</v>
      </c>
    </row>
    <row r="10" customFormat="false" ht="48" hidden="false" customHeight="true" outlineLevel="0" collapsed="false">
      <c r="B10" s="11" t="str">
        <f aca="false">IFERROR(INDEX(Data!$A$2:$A$228,MATCH(5,Data!$J$2:$J$228,0)),"")</f>
        <v/>
      </c>
      <c r="C10" s="12" t="str">
        <f aca="false">IFERROR(INDEX(Data!$B$2:$B$228,MATCH(5,Data!$J$2:$J$228,0)),"")</f>
        <v/>
      </c>
      <c r="D10" s="12" t="str">
        <f aca="false">IFERROR(INDEX(Data!$C$2:$C$228,MATCH(5,Data!$J$2:$J$228,0)),"")</f>
        <v/>
      </c>
      <c r="E10" s="12" t="str">
        <f aca="false">IFERROR(INDEX(Data!$D$2:$D$228,MATCH(5,Data!$J$2:$J$228,0)),"")</f>
        <v/>
      </c>
      <c r="F10" s="12" t="str">
        <f aca="false">IFERROR(INDEX(Data!$E$2:$E$228,MATCH(5,Data!$J$2:$J$228,0)),"")</f>
        <v/>
      </c>
      <c r="G10" s="12" t="str">
        <f aca="false">IFERROR(INDEX(Data!$F$2:$F$228,MATCH(5,Data!$J$2:$J$228,0)),"")</f>
        <v/>
      </c>
      <c r="H10" s="12" t="str">
        <f aca="false">IFERROR(INDEX(Data!$G$2:$G$228,MATCH(5,Data!$J$2:$J$228,0)),"")</f>
        <v/>
      </c>
      <c r="I10" s="12" t="str">
        <f aca="false">IFERROR(INDEX(Data!$H$2:$H$228,MATCH(5,Data!$J$2:$J$228,0)),"")</f>
        <v/>
      </c>
    </row>
    <row r="11" customFormat="false" ht="48" hidden="false" customHeight="true" outlineLevel="0" collapsed="false">
      <c r="B11" s="11" t="str">
        <f aca="false">IFERROR(INDEX(Data!$A$2:$A$228,MATCH(6,Data!$J$2:$J$228,0)),"")</f>
        <v/>
      </c>
      <c r="C11" s="12" t="str">
        <f aca="false">IFERROR(INDEX(Data!$B$2:$B$228,MATCH(6,Data!$J$2:$J$228,0)),"")</f>
        <v/>
      </c>
      <c r="D11" s="12" t="str">
        <f aca="false">IFERROR(INDEX(Data!$C$2:$C$228,MATCH(6,Data!$J$2:$J$228,0)),"")</f>
        <v/>
      </c>
      <c r="E11" s="12" t="str">
        <f aca="false">IFERROR(INDEX(Data!$D$2:$D$228,MATCH(6,Data!$J$2:$J$228,0)),"")</f>
        <v/>
      </c>
      <c r="F11" s="12" t="str">
        <f aca="false">IFERROR(INDEX(Data!$E$2:$E$228,MATCH(6,Data!$J$2:$J$228,0)),"")</f>
        <v/>
      </c>
      <c r="G11" s="12" t="str">
        <f aca="false">IFERROR(INDEX(Data!$F$2:$F$228,MATCH(6,Data!$J$2:$J$228,0)),"")</f>
        <v/>
      </c>
      <c r="H11" s="12" t="str">
        <f aca="false">IFERROR(INDEX(Data!$G$2:$G$228,MATCH(6,Data!$J$2:$J$228,0)),"")</f>
        <v/>
      </c>
      <c r="I11" s="12" t="str">
        <f aca="false">IFERROR(INDEX(Data!$H$2:$H$228,MATCH(6,Data!$J$2:$J$228,0)),"")</f>
        <v/>
      </c>
    </row>
    <row r="12" customFormat="false" ht="48" hidden="false" customHeight="true" outlineLevel="0" collapsed="false">
      <c r="B12" s="11" t="str">
        <f aca="false">IFERROR(INDEX(Data!$A$2:$A$228,MATCH(7,Data!$J$2:$J$228,0)),"")</f>
        <v/>
      </c>
      <c r="C12" s="12" t="str">
        <f aca="false">IFERROR(INDEX(Data!$B$2:$B$228,MATCH(7,Data!$J$2:$J$228,0)),"")</f>
        <v/>
      </c>
      <c r="D12" s="12" t="str">
        <f aca="false">IFERROR(INDEX(Data!$C$2:$C$228,MATCH(7,Data!$J$2:$J$228,0)),"")</f>
        <v/>
      </c>
      <c r="E12" s="12" t="str">
        <f aca="false">IFERROR(INDEX(Data!$D$2:$D$228,MATCH(7,Data!$J$2:$J$228,0)),"")</f>
        <v/>
      </c>
      <c r="F12" s="12" t="str">
        <f aca="false">IFERROR(INDEX(Data!$E$2:$E$228,MATCH(7,Data!$J$2:$J$228,0)),"")</f>
        <v/>
      </c>
      <c r="G12" s="12" t="str">
        <f aca="false">IFERROR(INDEX(Data!$F$2:$F$228,MATCH(7,Data!$J$2:$J$228,0)),"")</f>
        <v/>
      </c>
      <c r="H12" s="12" t="str">
        <f aca="false">IFERROR(INDEX(Data!$G$2:$G$228,MATCH(7,Data!$J$2:$J$228,0)),"")</f>
        <v/>
      </c>
      <c r="I12" s="12" t="str">
        <f aca="false">IFERROR(INDEX(Data!$H$2:$H$228,MATCH(7,Data!$J$2:$J$228,0)),"")</f>
        <v/>
      </c>
    </row>
    <row r="13" customFormat="false" ht="48" hidden="false" customHeight="true" outlineLevel="0" collapsed="false">
      <c r="B13" s="11" t="str">
        <f aca="false">IFERROR(INDEX(Data!$A$2:$A$228,MATCH(8,Data!$J$2:$J$228,0)),"")</f>
        <v/>
      </c>
      <c r="C13" s="12" t="str">
        <f aca="false">IFERROR(INDEX(Data!$B$2:$B$228,MATCH(8,Data!$J$2:$J$228,0)),"")</f>
        <v/>
      </c>
      <c r="D13" s="12" t="str">
        <f aca="false">IFERROR(INDEX(Data!$C$2:$C$228,MATCH(8,Data!$J$2:$J$228,0)),"")</f>
        <v/>
      </c>
      <c r="E13" s="12" t="str">
        <f aca="false">IFERROR(INDEX(Data!$D$2:$D$228,MATCH(8,Data!$J$2:$J$228,0)),"")</f>
        <v/>
      </c>
      <c r="F13" s="12" t="str">
        <f aca="false">IFERROR(INDEX(Data!$E$2:$E$228,MATCH(8,Data!$J$2:$J$228,0)),"")</f>
        <v/>
      </c>
      <c r="G13" s="12" t="str">
        <f aca="false">IFERROR(INDEX(Data!$F$2:$F$228,MATCH(8,Data!$J$2:$J$228,0)),"")</f>
        <v/>
      </c>
      <c r="H13" s="12" t="str">
        <f aca="false">IFERROR(INDEX(Data!$G$2:$G$228,MATCH(8,Data!$J$2:$J$228,0)),"")</f>
        <v/>
      </c>
      <c r="I13" s="12" t="str">
        <f aca="false">IFERROR(INDEX(Data!$H$2:$H$228,MATCH(8,Data!$J$2:$J$228,0)),"")</f>
        <v/>
      </c>
    </row>
    <row r="14" customFormat="false" ht="48" hidden="false" customHeight="true" outlineLevel="0" collapsed="false">
      <c r="B14" s="11" t="str">
        <f aca="false">IFERROR(INDEX(Data!$A$2:$A$228,MATCH(9,Data!$J$2:$J$228,0)),"")</f>
        <v/>
      </c>
      <c r="C14" s="12" t="str">
        <f aca="false">IFERROR(INDEX(Data!$B$2:$B$228,MATCH(9,Data!$J$2:$J$228,0)),"")</f>
        <v/>
      </c>
      <c r="D14" s="12" t="str">
        <f aca="false">IFERROR(INDEX(Data!$C$2:$C$228,MATCH(9,Data!$J$2:$J$228,0)),"")</f>
        <v/>
      </c>
      <c r="E14" s="12" t="str">
        <f aca="false">IFERROR(INDEX(Data!$D$2:$D$228,MATCH(9,Data!$J$2:$J$228,0)),"")</f>
        <v/>
      </c>
      <c r="F14" s="12" t="str">
        <f aca="false">IFERROR(INDEX(Data!$E$2:$E$228,MATCH(9,Data!$J$2:$J$228,0)),"")</f>
        <v/>
      </c>
      <c r="G14" s="12" t="str">
        <f aca="false">IFERROR(INDEX(Data!$F$2:$F$228,MATCH(9,Data!$J$2:$J$228,0)),"")</f>
        <v/>
      </c>
      <c r="H14" s="12" t="str">
        <f aca="false">IFERROR(INDEX(Data!$G$2:$G$228,MATCH(9,Data!$J$2:$J$228,0)),"")</f>
        <v/>
      </c>
      <c r="I14" s="12" t="str">
        <f aca="false">IFERROR(INDEX(Data!$H$2:$H$228,MATCH(9,Data!$J$2:$J$228,0)),"")</f>
        <v/>
      </c>
    </row>
    <row r="15" customFormat="false" ht="48" hidden="false" customHeight="true" outlineLevel="0" collapsed="false">
      <c r="B15" s="11" t="str">
        <f aca="false">IFERROR(INDEX(Data!$A$2:$A$228,MATCH(10,Data!$J$2:$J$228,0)),"")</f>
        <v/>
      </c>
      <c r="C15" s="12" t="str">
        <f aca="false">IFERROR(INDEX(Data!$B$2:$B$228,MATCH(10,Data!$J$2:$J$228,0)),"")</f>
        <v/>
      </c>
      <c r="D15" s="12" t="str">
        <f aca="false">IFERROR(INDEX(Data!$C$2:$C$228,MATCH(10,Data!$J$2:$J$228,0)),"")</f>
        <v/>
      </c>
      <c r="E15" s="12" t="str">
        <f aca="false">IFERROR(INDEX(Data!$D$2:$D$228,MATCH(10,Data!$J$2:$J$228,0)),"")</f>
        <v/>
      </c>
      <c r="F15" s="12" t="str">
        <f aca="false">IFERROR(INDEX(Data!$E$2:$E$228,MATCH(10,Data!$J$2:$J$228,0)),"")</f>
        <v/>
      </c>
      <c r="G15" s="12" t="str">
        <f aca="false">IFERROR(INDEX(Data!$F$2:$F$228,MATCH(10,Data!$J$2:$J$228,0)),"")</f>
        <v/>
      </c>
      <c r="H15" s="12" t="str">
        <f aca="false">IFERROR(INDEX(Data!$G$2:$G$228,MATCH(10,Data!$J$2:$J$228,0)),"")</f>
        <v/>
      </c>
      <c r="I15" s="12" t="str">
        <f aca="false">IFERROR(INDEX(Data!$H$2:$H$228,MATCH(10,Data!$J$2:$J$228,0)),"")</f>
        <v/>
      </c>
    </row>
    <row r="16" customFormat="false" ht="48" hidden="false" customHeight="true" outlineLevel="0" collapsed="false">
      <c r="B16" s="11" t="str">
        <f aca="false">IFERROR(INDEX(Data!$A$2:$A$228,MATCH(11,Data!$J$2:$J$228,0)),"")</f>
        <v/>
      </c>
      <c r="C16" s="12" t="str">
        <f aca="false">IFERROR(INDEX(Data!$B$2:$B$228,MATCH(11,Data!$J$2:$J$228,0)),"")</f>
        <v/>
      </c>
      <c r="D16" s="12" t="str">
        <f aca="false">IFERROR(INDEX(Data!$C$2:$C$228,MATCH(11,Data!$J$2:$J$228,0)),"")</f>
        <v/>
      </c>
      <c r="E16" s="12" t="str">
        <f aca="false">IFERROR(INDEX(Data!$D$2:$D$228,MATCH(11,Data!$J$2:$J$228,0)),"")</f>
        <v/>
      </c>
      <c r="F16" s="12" t="str">
        <f aca="false">IFERROR(INDEX(Data!$E$2:$E$228,MATCH(11,Data!$J$2:$J$228,0)),"")</f>
        <v/>
      </c>
      <c r="G16" s="12" t="str">
        <f aca="false">IFERROR(INDEX(Data!$F$2:$F$228,MATCH(11,Data!$J$2:$J$228,0)),"")</f>
        <v/>
      </c>
      <c r="H16" s="12" t="str">
        <f aca="false">IFERROR(INDEX(Data!$G$2:$G$228,MATCH(11,Data!$J$2:$J$228,0)),"")</f>
        <v/>
      </c>
      <c r="I16" s="12" t="str">
        <f aca="false">IFERROR(INDEX(Data!$H$2:$H$228,MATCH(11,Data!$J$2:$J$228,0)),"")</f>
        <v/>
      </c>
    </row>
    <row r="17" customFormat="false" ht="48" hidden="false" customHeight="true" outlineLevel="0" collapsed="false">
      <c r="B17" s="11" t="str">
        <f aca="false">IFERROR(INDEX(Data!$A$2:$A$228,MATCH(12,Data!$J$2:$J$228,0)),"")</f>
        <v/>
      </c>
      <c r="C17" s="12" t="str">
        <f aca="false">IFERROR(INDEX(Data!$B$2:$B$228,MATCH(12,Data!$J$2:$J$228,0)),"")</f>
        <v/>
      </c>
      <c r="D17" s="12" t="str">
        <f aca="false">IFERROR(INDEX(Data!$C$2:$C$228,MATCH(12,Data!$J$2:$J$228,0)),"")</f>
        <v/>
      </c>
      <c r="E17" s="12" t="str">
        <f aca="false">IFERROR(INDEX(Data!$D$2:$D$228,MATCH(12,Data!$J$2:$J$228,0)),"")</f>
        <v/>
      </c>
      <c r="F17" s="12" t="str">
        <f aca="false">IFERROR(INDEX(Data!$E$2:$E$228,MATCH(12,Data!$J$2:$J$228,0)),"")</f>
        <v/>
      </c>
      <c r="G17" s="12" t="str">
        <f aca="false">IFERROR(INDEX(Data!$F$2:$F$228,MATCH(12,Data!$J$2:$J$228,0)),"")</f>
        <v/>
      </c>
      <c r="H17" s="12" t="str">
        <f aca="false">IFERROR(INDEX(Data!$G$2:$G$228,MATCH(12,Data!$J$2:$J$228,0)),"")</f>
        <v/>
      </c>
      <c r="I17" s="12" t="str">
        <f aca="false">IFERROR(INDEX(Data!$H$2:$H$228,MATCH(12,Data!$J$2:$J$228,0)),"")</f>
        <v/>
      </c>
    </row>
    <row r="18" customFormat="false" ht="48" hidden="false" customHeight="true" outlineLevel="0" collapsed="false">
      <c r="B18" s="11" t="str">
        <f aca="false">IFERROR(INDEX(Data!$A$2:$A$228,MATCH(13,Data!$J$2:$J$228,0)),"")</f>
        <v/>
      </c>
      <c r="C18" s="12" t="str">
        <f aca="false">IFERROR(INDEX(Data!$B$2:$B$228,MATCH(13,Data!$J$2:$J$228,0)),"")</f>
        <v/>
      </c>
      <c r="D18" s="12" t="str">
        <f aca="false">IFERROR(INDEX(Data!$C$2:$C$228,MATCH(13,Data!$J$2:$J$228,0)),"")</f>
        <v/>
      </c>
      <c r="E18" s="12" t="str">
        <f aca="false">IFERROR(INDEX(Data!$D$2:$D$228,MATCH(13,Data!$J$2:$J$228,0)),"")</f>
        <v/>
      </c>
      <c r="F18" s="12" t="str">
        <f aca="false">IFERROR(INDEX(Data!$E$2:$E$228,MATCH(13,Data!$J$2:$J$228,0)),"")</f>
        <v/>
      </c>
      <c r="G18" s="12" t="str">
        <f aca="false">IFERROR(INDEX(Data!$F$2:$F$228,MATCH(13,Data!$J$2:$J$228,0)),"")</f>
        <v/>
      </c>
      <c r="H18" s="12" t="str">
        <f aca="false">IFERROR(INDEX(Data!$G$2:$G$228,MATCH(13,Data!$J$2:$J$228,0)),"")</f>
        <v/>
      </c>
      <c r="I18" s="12" t="str">
        <f aca="false">IFERROR(INDEX(Data!$H$2:$H$228,MATCH(13,Data!$J$2:$J$228,0)),"")</f>
        <v/>
      </c>
    </row>
    <row r="19" customFormat="false" ht="48" hidden="false" customHeight="true" outlineLevel="0" collapsed="false">
      <c r="B19" s="11" t="str">
        <f aca="false">IFERROR(INDEX(Data!$A$2:$A$228,MATCH(14,Data!$J$2:$J$228,0)),"")</f>
        <v/>
      </c>
      <c r="C19" s="12" t="str">
        <f aca="false">IFERROR(INDEX(Data!$B$2:$B$228,MATCH(14,Data!$J$2:$J$228,0)),"")</f>
        <v/>
      </c>
      <c r="D19" s="12" t="str">
        <f aca="false">IFERROR(INDEX(Data!$C$2:$C$228,MATCH(14,Data!$J$2:$J$228,0)),"")</f>
        <v/>
      </c>
      <c r="E19" s="12" t="str">
        <f aca="false">IFERROR(INDEX(Data!$D$2:$D$228,MATCH(14,Data!$J$2:$J$228,0)),"")</f>
        <v/>
      </c>
      <c r="F19" s="12" t="str">
        <f aca="false">IFERROR(INDEX(Data!$E$2:$E$228,MATCH(14,Data!$J$2:$J$228,0)),"")</f>
        <v/>
      </c>
      <c r="G19" s="12" t="str">
        <f aca="false">IFERROR(INDEX(Data!$F$2:$F$228,MATCH(14,Data!$J$2:$J$228,0)),"")</f>
        <v/>
      </c>
      <c r="H19" s="12" t="str">
        <f aca="false">IFERROR(INDEX(Data!$G$2:$G$228,MATCH(14,Data!$J$2:$J$228,0)),"")</f>
        <v/>
      </c>
      <c r="I19" s="12" t="str">
        <f aca="false">IFERROR(INDEX(Data!$H$2:$H$228,MATCH(14,Data!$J$2:$J$228,0)),"")</f>
        <v/>
      </c>
    </row>
    <row r="20" customFormat="false" ht="48" hidden="false" customHeight="true" outlineLevel="0" collapsed="false">
      <c r="B20" s="11" t="str">
        <f aca="false">IFERROR(INDEX(Data!$A$2:$A$228,MATCH(15,Data!$J$2:$J$228,0)),"")</f>
        <v/>
      </c>
      <c r="C20" s="12" t="str">
        <f aca="false">IFERROR(INDEX(Data!$B$2:$B$228,MATCH(15,Data!$J$2:$J$228,0)),"")</f>
        <v/>
      </c>
      <c r="D20" s="12" t="str">
        <f aca="false">IFERROR(INDEX(Data!$C$2:$C$228,MATCH(15,Data!$J$2:$J$228,0)),"")</f>
        <v/>
      </c>
      <c r="E20" s="12" t="str">
        <f aca="false">IFERROR(INDEX(Data!$D$2:$D$228,MATCH(15,Data!$J$2:$J$228,0)),"")</f>
        <v/>
      </c>
      <c r="F20" s="12" t="str">
        <f aca="false">IFERROR(INDEX(Data!$E$2:$E$228,MATCH(15,Data!$J$2:$J$228,0)),"")</f>
        <v/>
      </c>
      <c r="G20" s="12" t="str">
        <f aca="false">IFERROR(INDEX(Data!$F$2:$F$228,MATCH(15,Data!$J$2:$J$228,0)),"")</f>
        <v/>
      </c>
      <c r="H20" s="12" t="str">
        <f aca="false">IFERROR(INDEX(Data!$G$2:$G$228,MATCH(15,Data!$J$2:$J$228,0)),"")</f>
        <v/>
      </c>
      <c r="I20" s="12" t="str">
        <f aca="false">IFERROR(INDEX(Data!$H$2:$H$228,MATCH(15,Data!$J$2:$J$228,0)),"")</f>
        <v/>
      </c>
    </row>
    <row r="21" customFormat="false" ht="48" hidden="false" customHeight="true" outlineLevel="0" collapsed="false">
      <c r="B21" s="11" t="str">
        <f aca="false">IFERROR(INDEX(Data!$A$2:$A$228,MATCH(16,Data!$J$2:$J$228,0)),"")</f>
        <v/>
      </c>
      <c r="C21" s="12" t="str">
        <f aca="false">IFERROR(INDEX(Data!$B$2:$B$228,MATCH(16,Data!$J$2:$J$228,0)),"")</f>
        <v/>
      </c>
      <c r="D21" s="12" t="str">
        <f aca="false">IFERROR(INDEX(Data!$C$2:$C$228,MATCH(16,Data!$J$2:$J$228,0)),"")</f>
        <v/>
      </c>
      <c r="E21" s="12" t="str">
        <f aca="false">IFERROR(INDEX(Data!$D$2:$D$228,MATCH(16,Data!$J$2:$J$228,0)),"")</f>
        <v/>
      </c>
      <c r="F21" s="12" t="str">
        <f aca="false">IFERROR(INDEX(Data!$E$2:$E$228,MATCH(16,Data!$J$2:$J$228,0)),"")</f>
        <v/>
      </c>
      <c r="G21" s="12" t="str">
        <f aca="false">IFERROR(INDEX(Data!$F$2:$F$228,MATCH(16,Data!$J$2:$J$228,0)),"")</f>
        <v/>
      </c>
      <c r="H21" s="12" t="str">
        <f aca="false">IFERROR(INDEX(Data!$G$2:$G$228,MATCH(16,Data!$J$2:$J$228,0)),"")</f>
        <v/>
      </c>
      <c r="I21" s="12" t="str">
        <f aca="false">IFERROR(INDEX(Data!$H$2:$H$228,MATCH(16,Data!$J$2:$J$228,0)),"")</f>
        <v/>
      </c>
    </row>
    <row r="22" customFormat="false" ht="48" hidden="false" customHeight="true" outlineLevel="0" collapsed="false">
      <c r="B22" s="11" t="str">
        <f aca="false">IFERROR(INDEX(Data!$A$2:$A$228,MATCH(17,Data!$J$2:$J$228,0)),"")</f>
        <v/>
      </c>
      <c r="C22" s="12" t="str">
        <f aca="false">IFERROR(INDEX(Data!$B$2:$B$228,MATCH(17,Data!$J$2:$J$228,0)),"")</f>
        <v/>
      </c>
      <c r="D22" s="12" t="str">
        <f aca="false">IFERROR(INDEX(Data!$C$2:$C$228,MATCH(17,Data!$J$2:$J$228,0)),"")</f>
        <v/>
      </c>
      <c r="E22" s="12" t="str">
        <f aca="false">IFERROR(INDEX(Data!$D$2:$D$228,MATCH(17,Data!$J$2:$J$228,0)),"")</f>
        <v/>
      </c>
      <c r="F22" s="12" t="str">
        <f aca="false">IFERROR(INDEX(Data!$E$2:$E$228,MATCH(17,Data!$J$2:$J$228,0)),"")</f>
        <v/>
      </c>
      <c r="G22" s="12" t="str">
        <f aca="false">IFERROR(INDEX(Data!$F$2:$F$228,MATCH(17,Data!$J$2:$J$228,0)),"")</f>
        <v/>
      </c>
      <c r="H22" s="12" t="str">
        <f aca="false">IFERROR(INDEX(Data!$G$2:$G$228,MATCH(17,Data!$J$2:$J$228,0)),"")</f>
        <v/>
      </c>
      <c r="I22" s="12" t="str">
        <f aca="false">IFERROR(INDEX(Data!$H$2:$H$228,MATCH(17,Data!$J$2:$J$228,0)),"")</f>
        <v/>
      </c>
    </row>
    <row r="23" customFormat="false" ht="48" hidden="false" customHeight="true" outlineLevel="0" collapsed="false">
      <c r="B23" s="11" t="str">
        <f aca="false">IFERROR(INDEX(Data!$A$2:$A$228,MATCH(18,Data!$J$2:$J$228,0)),"")</f>
        <v/>
      </c>
      <c r="C23" s="12" t="str">
        <f aca="false">IFERROR(INDEX(Data!$B$2:$B$228,MATCH(18,Data!$J$2:$J$228,0)),"")</f>
        <v/>
      </c>
      <c r="D23" s="12" t="str">
        <f aca="false">IFERROR(INDEX(Data!$C$2:$C$228,MATCH(18,Data!$J$2:$J$228,0)),"")</f>
        <v/>
      </c>
      <c r="E23" s="12" t="str">
        <f aca="false">IFERROR(INDEX(Data!$D$2:$D$228,MATCH(18,Data!$J$2:$J$228,0)),"")</f>
        <v/>
      </c>
      <c r="F23" s="12" t="str">
        <f aca="false">IFERROR(INDEX(Data!$E$2:$E$228,MATCH(18,Data!$J$2:$J$228,0)),"")</f>
        <v/>
      </c>
      <c r="G23" s="12" t="str">
        <f aca="false">IFERROR(INDEX(Data!$F$2:$F$228,MATCH(18,Data!$J$2:$J$228,0)),"")</f>
        <v/>
      </c>
      <c r="H23" s="12" t="str">
        <f aca="false">IFERROR(INDEX(Data!$G$2:$G$228,MATCH(18,Data!$J$2:$J$228,0)),"")</f>
        <v/>
      </c>
      <c r="I23" s="12" t="str">
        <f aca="false">IFERROR(INDEX(Data!$H$2:$H$228,MATCH(18,Data!$J$2:$J$228,0)),"")</f>
        <v/>
      </c>
    </row>
    <row r="24" customFormat="false" ht="48" hidden="false" customHeight="true" outlineLevel="0" collapsed="false">
      <c r="B24" s="11" t="str">
        <f aca="false">IFERROR(INDEX(Data!$A$2:$A$228,MATCH(19,Data!$J$2:$J$228,0)),"")</f>
        <v/>
      </c>
      <c r="C24" s="12" t="str">
        <f aca="false">IFERROR(INDEX(Data!$B$2:$B$228,MATCH(19,Data!$J$2:$J$228,0)),"")</f>
        <v/>
      </c>
      <c r="D24" s="12" t="str">
        <f aca="false">IFERROR(INDEX(Data!$C$2:$C$228,MATCH(19,Data!$J$2:$J$228,0)),"")</f>
        <v/>
      </c>
      <c r="E24" s="12" t="str">
        <f aca="false">IFERROR(INDEX(Data!$D$2:$D$228,MATCH(19,Data!$J$2:$J$228,0)),"")</f>
        <v/>
      </c>
      <c r="F24" s="12" t="str">
        <f aca="false">IFERROR(INDEX(Data!$E$2:$E$228,MATCH(19,Data!$J$2:$J$228,0)),"")</f>
        <v/>
      </c>
      <c r="G24" s="12" t="str">
        <f aca="false">IFERROR(INDEX(Data!$F$2:$F$228,MATCH(19,Data!$J$2:$J$228,0)),"")</f>
        <v/>
      </c>
      <c r="H24" s="12" t="str">
        <f aca="false">IFERROR(INDEX(Data!$G$2:$G$228,MATCH(19,Data!$J$2:$J$228,0)),"")</f>
        <v/>
      </c>
      <c r="I24" s="12" t="str">
        <f aca="false">IFERROR(INDEX(Data!$H$2:$H$228,MATCH(19,Data!$J$2:$J$228,0)),"")</f>
        <v/>
      </c>
    </row>
    <row r="25" customFormat="false" ht="48" hidden="false" customHeight="true" outlineLevel="0" collapsed="false">
      <c r="B25" s="11" t="str">
        <f aca="false">IFERROR(INDEX(Data!$A$2:$A$228,MATCH(20,Data!$J$2:$J$228,0)),"")</f>
        <v/>
      </c>
      <c r="C25" s="12" t="str">
        <f aca="false">IFERROR(INDEX(Data!$B$2:$B$228,MATCH(20,Data!$J$2:$J$228,0)),"")</f>
        <v/>
      </c>
      <c r="D25" s="12" t="str">
        <f aca="false">IFERROR(INDEX(Data!$C$2:$C$228,MATCH(20,Data!$J$2:$J$228,0)),"")</f>
        <v/>
      </c>
      <c r="E25" s="12" t="str">
        <f aca="false">IFERROR(INDEX(Data!$D$2:$D$228,MATCH(20,Data!$J$2:$J$228,0)),"")</f>
        <v/>
      </c>
      <c r="F25" s="12" t="str">
        <f aca="false">IFERROR(INDEX(Data!$E$2:$E$228,MATCH(20,Data!$J$2:$J$228,0)),"")</f>
        <v/>
      </c>
      <c r="G25" s="12" t="str">
        <f aca="false">IFERROR(INDEX(Data!$F$2:$F$228,MATCH(20,Data!$J$2:$J$228,0)),"")</f>
        <v/>
      </c>
      <c r="H25" s="12" t="str">
        <f aca="false">IFERROR(INDEX(Data!$G$2:$G$228,MATCH(20,Data!$J$2:$J$228,0)),"")</f>
        <v/>
      </c>
      <c r="I25" s="12" t="str">
        <f aca="false">IFERROR(INDEX(Data!$H$2:$H$228,MATCH(20,Data!$J$2:$J$228,0)),"")</f>
        <v/>
      </c>
    </row>
    <row r="26" customFormat="false" ht="48" hidden="false" customHeight="true" outlineLevel="0" collapsed="false">
      <c r="B26" s="11" t="str">
        <f aca="false">IFERROR(INDEX(Data!$A$2:$A$228,MATCH(21,Data!$J$2:$J$228,0)),"")</f>
        <v/>
      </c>
      <c r="C26" s="12" t="str">
        <f aca="false">IFERROR(INDEX(Data!$B$2:$B$228,MATCH(21,Data!$J$2:$J$228,0)),"")</f>
        <v/>
      </c>
      <c r="D26" s="12" t="str">
        <f aca="false">IFERROR(INDEX(Data!$C$2:$C$228,MATCH(21,Data!$J$2:$J$228,0)),"")</f>
        <v/>
      </c>
      <c r="E26" s="12" t="str">
        <f aca="false">IFERROR(INDEX(Data!$D$2:$D$228,MATCH(21,Data!$J$2:$J$228,0)),"")</f>
        <v/>
      </c>
      <c r="F26" s="12" t="str">
        <f aca="false">IFERROR(INDEX(Data!$E$2:$E$228,MATCH(21,Data!$J$2:$J$228,0)),"")</f>
        <v/>
      </c>
      <c r="G26" s="12" t="str">
        <f aca="false">IFERROR(INDEX(Data!$F$2:$F$228,MATCH(21,Data!$J$2:$J$228,0)),"")</f>
        <v/>
      </c>
      <c r="H26" s="12" t="str">
        <f aca="false">IFERROR(INDEX(Data!$G$2:$G$228,MATCH(21,Data!$J$2:$J$228,0)),"")</f>
        <v/>
      </c>
      <c r="I26" s="12" t="str">
        <f aca="false">IFERROR(INDEX(Data!$H$2:$H$228,MATCH(21,Data!$J$2:$J$228,0)),"")</f>
        <v/>
      </c>
    </row>
    <row r="27" customFormat="false" ht="48" hidden="false" customHeight="true" outlineLevel="0" collapsed="false">
      <c r="B27" s="11" t="str">
        <f aca="false">IFERROR(INDEX(Data!$A$2:$A$228,MATCH(22,Data!$J$2:$J$228,0)),"")</f>
        <v/>
      </c>
      <c r="C27" s="12" t="str">
        <f aca="false">IFERROR(INDEX(Data!$B$2:$B$228,MATCH(22,Data!$J$2:$J$228,0)),"")</f>
        <v/>
      </c>
      <c r="D27" s="12" t="str">
        <f aca="false">IFERROR(INDEX(Data!$C$2:$C$228,MATCH(22,Data!$J$2:$J$228,0)),"")</f>
        <v/>
      </c>
      <c r="E27" s="12" t="str">
        <f aca="false">IFERROR(INDEX(Data!$D$2:$D$228,MATCH(22,Data!$J$2:$J$228,0)),"")</f>
        <v/>
      </c>
      <c r="F27" s="12" t="str">
        <f aca="false">IFERROR(INDEX(Data!$E$2:$E$228,MATCH(22,Data!$J$2:$J$228,0)),"")</f>
        <v/>
      </c>
      <c r="G27" s="12" t="str">
        <f aca="false">IFERROR(INDEX(Data!$F$2:$F$228,MATCH(22,Data!$J$2:$J$228,0)),"")</f>
        <v/>
      </c>
      <c r="H27" s="12" t="str">
        <f aca="false">IFERROR(INDEX(Data!$G$2:$G$228,MATCH(22,Data!$J$2:$J$228,0)),"")</f>
        <v/>
      </c>
      <c r="I27" s="12" t="str">
        <f aca="false">IFERROR(INDEX(Data!$H$2:$H$228,MATCH(22,Data!$J$2:$J$228,0)),"")</f>
        <v/>
      </c>
    </row>
    <row r="28" customFormat="false" ht="48" hidden="false" customHeight="true" outlineLevel="0" collapsed="false">
      <c r="B28" s="11" t="str">
        <f aca="false">IFERROR(INDEX(Data!$A$2:$A$228,MATCH(23,Data!$J$2:$J$228,0)),"")</f>
        <v/>
      </c>
      <c r="C28" s="12" t="str">
        <f aca="false">IFERROR(INDEX(Data!$B$2:$B$228,MATCH(23,Data!$J$2:$J$228,0)),"")</f>
        <v/>
      </c>
      <c r="D28" s="12" t="str">
        <f aca="false">IFERROR(INDEX(Data!$C$2:$C$228,MATCH(23,Data!$J$2:$J$228,0)),"")</f>
        <v/>
      </c>
      <c r="E28" s="12" t="str">
        <f aca="false">IFERROR(INDEX(Data!$D$2:$D$228,MATCH(23,Data!$J$2:$J$228,0)),"")</f>
        <v/>
      </c>
      <c r="F28" s="12" t="str">
        <f aca="false">IFERROR(INDEX(Data!$E$2:$E$228,MATCH(23,Data!$J$2:$J$228,0)),"")</f>
        <v/>
      </c>
      <c r="G28" s="12" t="str">
        <f aca="false">IFERROR(INDEX(Data!$F$2:$F$228,MATCH(23,Data!$J$2:$J$228,0)),"")</f>
        <v/>
      </c>
      <c r="H28" s="12" t="str">
        <f aca="false">IFERROR(INDEX(Data!$G$2:$G$228,MATCH(23,Data!$J$2:$J$228,0)),"")</f>
        <v/>
      </c>
      <c r="I28" s="12" t="str">
        <f aca="false">IFERROR(INDEX(Data!$H$2:$H$228,MATCH(23,Data!$J$2:$J$228,0)),"")</f>
        <v/>
      </c>
    </row>
    <row r="29" customFormat="false" ht="48" hidden="false" customHeight="true" outlineLevel="0" collapsed="false">
      <c r="B29" s="11" t="str">
        <f aca="false">IFERROR(INDEX(Data!$A$2:$A$228,MATCH(24,Data!$J$2:$J$228,0)),"")</f>
        <v/>
      </c>
      <c r="C29" s="12" t="str">
        <f aca="false">IFERROR(INDEX(Data!$B$2:$B$228,MATCH(24,Data!$J$2:$J$228,0)),"")</f>
        <v/>
      </c>
      <c r="D29" s="12" t="str">
        <f aca="false">IFERROR(INDEX(Data!$C$2:$C$228,MATCH(24,Data!$J$2:$J$228,0)),"")</f>
        <v/>
      </c>
      <c r="E29" s="12" t="str">
        <f aca="false">IFERROR(INDEX(Data!$D$2:$D$228,MATCH(24,Data!$J$2:$J$228,0)),"")</f>
        <v/>
      </c>
      <c r="F29" s="12" t="str">
        <f aca="false">IFERROR(INDEX(Data!$E$2:$E$228,MATCH(24,Data!$J$2:$J$228,0)),"")</f>
        <v/>
      </c>
      <c r="G29" s="12" t="str">
        <f aca="false">IFERROR(INDEX(Data!$F$2:$F$228,MATCH(24,Data!$J$2:$J$228,0)),"")</f>
        <v/>
      </c>
      <c r="H29" s="12" t="str">
        <f aca="false">IFERROR(INDEX(Data!$G$2:$G$228,MATCH(24,Data!$J$2:$J$228,0)),"")</f>
        <v/>
      </c>
      <c r="I29" s="12" t="str">
        <f aca="false">IFERROR(INDEX(Data!$H$2:$H$228,MATCH(24,Data!$J$2:$J$228,0)),"")</f>
        <v/>
      </c>
    </row>
    <row r="30" customFormat="false" ht="48" hidden="false" customHeight="true" outlineLevel="0" collapsed="false">
      <c r="B30" s="11" t="str">
        <f aca="false">IFERROR(INDEX(Data!$A$2:$A$228,MATCH(25,Data!$J$2:$J$228,0)),"")</f>
        <v/>
      </c>
      <c r="C30" s="12" t="str">
        <f aca="false">IFERROR(INDEX(Data!$B$2:$B$228,MATCH(25,Data!$J$2:$J$228,0)),"")</f>
        <v/>
      </c>
      <c r="D30" s="12" t="str">
        <f aca="false">IFERROR(INDEX(Data!$C$2:$C$228,MATCH(25,Data!$J$2:$J$228,0)),"")</f>
        <v/>
      </c>
      <c r="E30" s="12" t="str">
        <f aca="false">IFERROR(INDEX(Data!$D$2:$D$228,MATCH(25,Data!$J$2:$J$228,0)),"")</f>
        <v/>
      </c>
      <c r="F30" s="12" t="str">
        <f aca="false">IFERROR(INDEX(Data!$E$2:$E$228,MATCH(25,Data!$J$2:$J$228,0)),"")</f>
        <v/>
      </c>
      <c r="G30" s="12" t="str">
        <f aca="false">IFERROR(INDEX(Data!$F$2:$F$228,MATCH(25,Data!$J$2:$J$228,0)),"")</f>
        <v/>
      </c>
      <c r="H30" s="12" t="str">
        <f aca="false">IFERROR(INDEX(Data!$G$2:$G$228,MATCH(25,Data!$J$2:$J$228,0)),"")</f>
        <v/>
      </c>
      <c r="I30" s="12" t="str">
        <f aca="false">IFERROR(INDEX(Data!$H$2:$H$228,MATCH(25,Data!$J$2:$J$228,0)),"")</f>
        <v/>
      </c>
    </row>
    <row r="31" customFormat="false" ht="48" hidden="false" customHeight="true" outlineLevel="0" collapsed="false">
      <c r="B31" s="11" t="str">
        <f aca="false">IFERROR(INDEX(Data!$A$2:$A$228,MATCH(26,Data!$J$2:$J$228,0)),"")</f>
        <v/>
      </c>
      <c r="C31" s="12" t="str">
        <f aca="false">IFERROR(INDEX(Data!$B$2:$B$228,MATCH(26,Data!$J$2:$J$228,0)),"")</f>
        <v/>
      </c>
      <c r="D31" s="12" t="str">
        <f aca="false">IFERROR(INDEX(Data!$C$2:$C$228,MATCH(26,Data!$J$2:$J$228,0)),"")</f>
        <v/>
      </c>
      <c r="E31" s="12" t="str">
        <f aca="false">IFERROR(INDEX(Data!$D$2:$D$228,MATCH(26,Data!$J$2:$J$228,0)),"")</f>
        <v/>
      </c>
      <c r="F31" s="12" t="str">
        <f aca="false">IFERROR(INDEX(Data!$E$2:$E$228,MATCH(26,Data!$J$2:$J$228,0)),"")</f>
        <v/>
      </c>
      <c r="G31" s="12" t="str">
        <f aca="false">IFERROR(INDEX(Data!$F$2:$F$228,MATCH(26,Data!$J$2:$J$228,0)),"")</f>
        <v/>
      </c>
      <c r="H31" s="12" t="str">
        <f aca="false">IFERROR(INDEX(Data!$G$2:$G$228,MATCH(26,Data!$J$2:$J$228,0)),"")</f>
        <v/>
      </c>
      <c r="I31" s="12" t="str">
        <f aca="false">IFERROR(INDEX(Data!$H$2:$H$228,MATCH(26,Data!$J$2:$J$228,0)),"")</f>
        <v/>
      </c>
    </row>
    <row r="32" customFormat="false" ht="48" hidden="false" customHeight="true" outlineLevel="0" collapsed="false">
      <c r="B32" s="11" t="str">
        <f aca="false">IFERROR(INDEX(Data!$A$2:$A$228,MATCH(27,Data!$J$2:$J$228,0)),"")</f>
        <v/>
      </c>
      <c r="C32" s="12" t="str">
        <f aca="false">IFERROR(INDEX(Data!$B$2:$B$228,MATCH(27,Data!$J$2:$J$228,0)),"")</f>
        <v/>
      </c>
      <c r="D32" s="12" t="str">
        <f aca="false">IFERROR(INDEX(Data!$C$2:$C$228,MATCH(27,Data!$J$2:$J$228,0)),"")</f>
        <v/>
      </c>
      <c r="E32" s="12" t="str">
        <f aca="false">IFERROR(INDEX(Data!$D$2:$D$228,MATCH(27,Data!$J$2:$J$228,0)),"")</f>
        <v/>
      </c>
      <c r="F32" s="12" t="str">
        <f aca="false">IFERROR(INDEX(Data!$E$2:$E$228,MATCH(27,Data!$J$2:$J$228,0)),"")</f>
        <v/>
      </c>
      <c r="G32" s="12" t="str">
        <f aca="false">IFERROR(INDEX(Data!$F$2:$F$228,MATCH(27,Data!$J$2:$J$228,0)),"")</f>
        <v/>
      </c>
      <c r="H32" s="12" t="str">
        <f aca="false">IFERROR(INDEX(Data!$G$2:$G$228,MATCH(27,Data!$J$2:$J$228,0)),"")</f>
        <v/>
      </c>
      <c r="I32" s="12" t="str">
        <f aca="false">IFERROR(INDEX(Data!$H$2:$H$228,MATCH(27,Data!$J$2:$J$228,0)),"")</f>
        <v/>
      </c>
    </row>
    <row r="33" customFormat="false" ht="48" hidden="false" customHeight="true" outlineLevel="0" collapsed="false">
      <c r="B33" s="11" t="str">
        <f aca="false">IFERROR(INDEX(Data!$A$2:$A$228,MATCH(28,Data!$J$2:$J$228,0)),"")</f>
        <v/>
      </c>
      <c r="C33" s="12" t="str">
        <f aca="false">IFERROR(INDEX(Data!$B$2:$B$228,MATCH(28,Data!$J$2:$J$228,0)),"")</f>
        <v/>
      </c>
      <c r="D33" s="12" t="str">
        <f aca="false">IFERROR(INDEX(Data!$C$2:$C$228,MATCH(28,Data!$J$2:$J$228,0)),"")</f>
        <v/>
      </c>
      <c r="E33" s="12" t="str">
        <f aca="false">IFERROR(INDEX(Data!$D$2:$D$228,MATCH(28,Data!$J$2:$J$228,0)),"")</f>
        <v/>
      </c>
      <c r="F33" s="12" t="str">
        <f aca="false">IFERROR(INDEX(Data!$E$2:$E$228,MATCH(28,Data!$J$2:$J$228,0)),"")</f>
        <v/>
      </c>
      <c r="G33" s="12" t="str">
        <f aca="false">IFERROR(INDEX(Data!$F$2:$F$228,MATCH(28,Data!$J$2:$J$228,0)),"")</f>
        <v/>
      </c>
      <c r="H33" s="12" t="str">
        <f aca="false">IFERROR(INDEX(Data!$G$2:$G$228,MATCH(28,Data!$J$2:$J$228,0)),"")</f>
        <v/>
      </c>
      <c r="I33" s="12" t="str">
        <f aca="false">IFERROR(INDEX(Data!$H$2:$H$228,MATCH(28,Data!$J$2:$J$228,0)),"")</f>
        <v/>
      </c>
    </row>
    <row r="34" customFormat="false" ht="48" hidden="false" customHeight="true" outlineLevel="0" collapsed="false">
      <c r="B34" s="11" t="str">
        <f aca="false">IFERROR(INDEX(Data!$A$2:$A$228,MATCH(29,Data!$J$2:$J$228,0)),"")</f>
        <v/>
      </c>
      <c r="C34" s="12" t="str">
        <f aca="false">IFERROR(INDEX(Data!$B$2:$B$228,MATCH(29,Data!$J$2:$J$228,0)),"")</f>
        <v/>
      </c>
      <c r="D34" s="12" t="str">
        <f aca="false">IFERROR(INDEX(Data!$C$2:$C$228,MATCH(29,Data!$J$2:$J$228,0)),"")</f>
        <v/>
      </c>
      <c r="E34" s="12" t="str">
        <f aca="false">IFERROR(INDEX(Data!$D$2:$D$228,MATCH(29,Data!$J$2:$J$228,0)),"")</f>
        <v/>
      </c>
      <c r="F34" s="12" t="str">
        <f aca="false">IFERROR(INDEX(Data!$E$2:$E$228,MATCH(29,Data!$J$2:$J$228,0)),"")</f>
        <v/>
      </c>
      <c r="G34" s="12" t="str">
        <f aca="false">IFERROR(INDEX(Data!$F$2:$F$228,MATCH(29,Data!$J$2:$J$228,0)),"")</f>
        <v/>
      </c>
      <c r="H34" s="12" t="str">
        <f aca="false">IFERROR(INDEX(Data!$G$2:$G$228,MATCH(29,Data!$J$2:$J$228,0)),"")</f>
        <v/>
      </c>
      <c r="I34" s="12" t="str">
        <f aca="false">IFERROR(INDEX(Data!$H$2:$H$228,MATCH(29,Data!$J$2:$J$228,0)),"")</f>
        <v/>
      </c>
    </row>
    <row r="35" customFormat="false" ht="48" hidden="false" customHeight="true" outlineLevel="0" collapsed="false">
      <c r="B35" s="11" t="str">
        <f aca="false">IFERROR(INDEX(Data!$A$2:$A$228,MATCH(30,Data!$J$2:$J$228,0)),"")</f>
        <v/>
      </c>
      <c r="C35" s="12" t="str">
        <f aca="false">IFERROR(INDEX(Data!$B$2:$B$228,MATCH(30,Data!$J$2:$J$228,0)),"")</f>
        <v/>
      </c>
      <c r="D35" s="12" t="str">
        <f aca="false">IFERROR(INDEX(Data!$C$2:$C$228,MATCH(30,Data!$J$2:$J$228,0)),"")</f>
        <v/>
      </c>
      <c r="E35" s="12" t="str">
        <f aca="false">IFERROR(INDEX(Data!$D$2:$D$228,MATCH(30,Data!$J$2:$J$228,0)),"")</f>
        <v/>
      </c>
      <c r="F35" s="12" t="str">
        <f aca="false">IFERROR(INDEX(Data!$E$2:$E$228,MATCH(30,Data!$J$2:$J$228,0)),"")</f>
        <v/>
      </c>
      <c r="G35" s="12" t="str">
        <f aca="false">IFERROR(INDEX(Data!$F$2:$F$228,MATCH(30,Data!$J$2:$J$228,0)),"")</f>
        <v/>
      </c>
      <c r="H35" s="12" t="str">
        <f aca="false">IFERROR(INDEX(Data!$G$2:$G$228,MATCH(30,Data!$J$2:$J$228,0)),"")</f>
        <v/>
      </c>
      <c r="I35" s="12" t="str">
        <f aca="false">IFERROR(INDEX(Data!$H$2:$H$228,MATCH(30,Data!$J$2:$J$228,0)),"")</f>
        <v/>
      </c>
    </row>
    <row r="36" customFormat="false" ht="48" hidden="false" customHeight="true" outlineLevel="0" collapsed="false">
      <c r="B36" s="11" t="str">
        <f aca="false">IFERROR(INDEX(Data!$A$2:$A$228,MATCH(31,Data!$J$2:$J$228,0)),"")</f>
        <v/>
      </c>
      <c r="C36" s="12" t="str">
        <f aca="false">IFERROR(INDEX(Data!$B$2:$B$228,MATCH(31,Data!$J$2:$J$228,0)),"")</f>
        <v/>
      </c>
      <c r="D36" s="12" t="str">
        <f aca="false">IFERROR(INDEX(Data!$C$2:$C$228,MATCH(31,Data!$J$2:$J$228,0)),"")</f>
        <v/>
      </c>
      <c r="E36" s="12" t="str">
        <f aca="false">IFERROR(INDEX(Data!$D$2:$D$228,MATCH(31,Data!$J$2:$J$228,0)),"")</f>
        <v/>
      </c>
      <c r="F36" s="12" t="str">
        <f aca="false">IFERROR(INDEX(Data!$E$2:$E$228,MATCH(31,Data!$J$2:$J$228,0)),"")</f>
        <v/>
      </c>
      <c r="G36" s="12" t="str">
        <f aca="false">IFERROR(INDEX(Data!$F$2:$F$228,MATCH(31,Data!$J$2:$J$228,0)),"")</f>
        <v/>
      </c>
      <c r="H36" s="12" t="str">
        <f aca="false">IFERROR(INDEX(Data!$G$2:$G$228,MATCH(31,Data!$J$2:$J$228,0)),"")</f>
        <v/>
      </c>
      <c r="I36" s="12" t="str">
        <f aca="false">IFERROR(INDEX(Data!$H$2:$H$228,MATCH(31,Data!$J$2:$J$228,0)),"")</f>
        <v/>
      </c>
    </row>
    <row r="37" customFormat="false" ht="48" hidden="false" customHeight="true" outlineLevel="0" collapsed="false">
      <c r="B37" s="11" t="str">
        <f aca="false">IFERROR(INDEX(Data!$A$2:$A$228,MATCH(32,Data!$J$2:$J$228,0)),"")</f>
        <v/>
      </c>
      <c r="C37" s="12" t="str">
        <f aca="false">IFERROR(INDEX(Data!$B$2:$B$228,MATCH(32,Data!$J$2:$J$228,0)),"")</f>
        <v/>
      </c>
      <c r="D37" s="12" t="str">
        <f aca="false">IFERROR(INDEX(Data!$C$2:$C$228,MATCH(32,Data!$J$2:$J$228,0)),"")</f>
        <v/>
      </c>
      <c r="E37" s="12" t="str">
        <f aca="false">IFERROR(INDEX(Data!$D$2:$D$228,MATCH(32,Data!$J$2:$J$228,0)),"")</f>
        <v/>
      </c>
      <c r="F37" s="12" t="str">
        <f aca="false">IFERROR(INDEX(Data!$E$2:$E$228,MATCH(32,Data!$J$2:$J$228,0)),"")</f>
        <v/>
      </c>
      <c r="G37" s="12" t="str">
        <f aca="false">IFERROR(INDEX(Data!$F$2:$F$228,MATCH(32,Data!$J$2:$J$228,0)),"")</f>
        <v/>
      </c>
      <c r="H37" s="12" t="str">
        <f aca="false">IFERROR(INDEX(Data!$G$2:$G$228,MATCH(32,Data!$J$2:$J$228,0)),"")</f>
        <v/>
      </c>
      <c r="I37" s="12" t="str">
        <f aca="false">IFERROR(INDEX(Data!$H$2:$H$228,MATCH(32,Data!$J$2:$J$228,0)),"")</f>
        <v/>
      </c>
    </row>
    <row r="38" customFormat="false" ht="48" hidden="false" customHeight="true" outlineLevel="0" collapsed="false">
      <c r="B38" s="11" t="str">
        <f aca="false">IFERROR(INDEX(Data!$A$2:$A$228,MATCH(33,Data!$J$2:$J$228,0)),"")</f>
        <v/>
      </c>
      <c r="C38" s="12" t="str">
        <f aca="false">IFERROR(INDEX(Data!$B$2:$B$228,MATCH(33,Data!$J$2:$J$228,0)),"")</f>
        <v/>
      </c>
      <c r="D38" s="12" t="str">
        <f aca="false">IFERROR(INDEX(Data!$C$2:$C$228,MATCH(33,Data!$J$2:$J$228,0)),"")</f>
        <v/>
      </c>
      <c r="E38" s="12" t="str">
        <f aca="false">IFERROR(INDEX(Data!$D$2:$D$228,MATCH(33,Data!$J$2:$J$228,0)),"")</f>
        <v/>
      </c>
      <c r="F38" s="12" t="str">
        <f aca="false">IFERROR(INDEX(Data!$E$2:$E$228,MATCH(33,Data!$J$2:$J$228,0)),"")</f>
        <v/>
      </c>
      <c r="G38" s="12" t="str">
        <f aca="false">IFERROR(INDEX(Data!$F$2:$F$228,MATCH(33,Data!$J$2:$J$228,0)),"")</f>
        <v/>
      </c>
      <c r="H38" s="12" t="str">
        <f aca="false">IFERROR(INDEX(Data!$G$2:$G$228,MATCH(33,Data!$J$2:$J$228,0)),"")</f>
        <v/>
      </c>
      <c r="I38" s="12" t="str">
        <f aca="false">IFERROR(INDEX(Data!$H$2:$H$228,MATCH(33,Data!$J$2:$J$228,0)),"")</f>
        <v/>
      </c>
    </row>
    <row r="39" customFormat="false" ht="48" hidden="false" customHeight="true" outlineLevel="0" collapsed="false">
      <c r="B39" s="11" t="str">
        <f aca="false">IFERROR(INDEX(Data!$A$2:$A$228,MATCH(34,Data!$J$2:$J$228,0)),"")</f>
        <v/>
      </c>
      <c r="C39" s="12" t="str">
        <f aca="false">IFERROR(INDEX(Data!$B$2:$B$228,MATCH(34,Data!$J$2:$J$228,0)),"")</f>
        <v/>
      </c>
      <c r="D39" s="12" t="str">
        <f aca="false">IFERROR(INDEX(Data!$C$2:$C$228,MATCH(34,Data!$J$2:$J$228,0)),"")</f>
        <v/>
      </c>
      <c r="E39" s="12" t="str">
        <f aca="false">IFERROR(INDEX(Data!$D$2:$D$228,MATCH(34,Data!$J$2:$J$228,0)),"")</f>
        <v/>
      </c>
      <c r="F39" s="12" t="str">
        <f aca="false">IFERROR(INDEX(Data!$E$2:$E$228,MATCH(34,Data!$J$2:$J$228,0)),"")</f>
        <v/>
      </c>
      <c r="G39" s="12" t="str">
        <f aca="false">IFERROR(INDEX(Data!$F$2:$F$228,MATCH(34,Data!$J$2:$J$228,0)),"")</f>
        <v/>
      </c>
      <c r="H39" s="12" t="str">
        <f aca="false">IFERROR(INDEX(Data!$G$2:$G$228,MATCH(34,Data!$J$2:$J$228,0)),"")</f>
        <v/>
      </c>
      <c r="I39" s="12" t="str">
        <f aca="false">IFERROR(INDEX(Data!$H$2:$H$228,MATCH(34,Data!$J$2:$J$228,0)),"")</f>
        <v/>
      </c>
    </row>
    <row r="40" customFormat="false" ht="48" hidden="false" customHeight="true" outlineLevel="0" collapsed="false">
      <c r="B40" s="11" t="str">
        <f aca="false">IFERROR(INDEX(Data!$A$2:$A$228,MATCH(35,Data!$J$2:$J$228,0)),"")</f>
        <v/>
      </c>
      <c r="C40" s="12" t="str">
        <f aca="false">IFERROR(INDEX(Data!$B$2:$B$228,MATCH(35,Data!$J$2:$J$228,0)),"")</f>
        <v/>
      </c>
      <c r="D40" s="12" t="str">
        <f aca="false">IFERROR(INDEX(Data!$C$2:$C$228,MATCH(35,Data!$J$2:$J$228,0)),"")</f>
        <v/>
      </c>
      <c r="E40" s="12" t="str">
        <f aca="false">IFERROR(INDEX(Data!$D$2:$D$228,MATCH(35,Data!$J$2:$J$228,0)),"")</f>
        <v/>
      </c>
      <c r="F40" s="12" t="str">
        <f aca="false">IFERROR(INDEX(Data!$E$2:$E$228,MATCH(35,Data!$J$2:$J$228,0)),"")</f>
        <v/>
      </c>
      <c r="G40" s="12" t="str">
        <f aca="false">IFERROR(INDEX(Data!$F$2:$F$228,MATCH(35,Data!$J$2:$J$228,0)),"")</f>
        <v/>
      </c>
      <c r="H40" s="12" t="str">
        <f aca="false">IFERROR(INDEX(Data!$G$2:$G$228,MATCH(35,Data!$J$2:$J$228,0)),"")</f>
        <v/>
      </c>
      <c r="I40" s="12" t="str">
        <f aca="false">IFERROR(INDEX(Data!$H$2:$H$228,MATCH(35,Data!$J$2:$J$228,0)),"")</f>
        <v/>
      </c>
    </row>
    <row r="41" customFormat="false" ht="48" hidden="false" customHeight="true" outlineLevel="0" collapsed="false">
      <c r="B41" s="11" t="str">
        <f aca="false">IFERROR(INDEX(Data!$A$2:$A$228,MATCH(36,Data!$J$2:$J$228,0)),"")</f>
        <v/>
      </c>
      <c r="C41" s="12" t="str">
        <f aca="false">IFERROR(INDEX(Data!$B$2:$B$228,MATCH(36,Data!$J$2:$J$228,0)),"")</f>
        <v/>
      </c>
      <c r="D41" s="12" t="str">
        <f aca="false">IFERROR(INDEX(Data!$C$2:$C$228,MATCH(36,Data!$J$2:$J$228,0)),"")</f>
        <v/>
      </c>
      <c r="E41" s="12" t="str">
        <f aca="false">IFERROR(INDEX(Data!$D$2:$D$228,MATCH(36,Data!$J$2:$J$228,0)),"")</f>
        <v/>
      </c>
      <c r="F41" s="12" t="str">
        <f aca="false">IFERROR(INDEX(Data!$E$2:$E$228,MATCH(36,Data!$J$2:$J$228,0)),"")</f>
        <v/>
      </c>
      <c r="G41" s="12" t="str">
        <f aca="false">IFERROR(INDEX(Data!$F$2:$F$228,MATCH(36,Data!$J$2:$J$228,0)),"")</f>
        <v/>
      </c>
      <c r="H41" s="12" t="str">
        <f aca="false">IFERROR(INDEX(Data!$G$2:$G$228,MATCH(36,Data!$J$2:$J$228,0)),"")</f>
        <v/>
      </c>
      <c r="I41" s="12" t="str">
        <f aca="false">IFERROR(INDEX(Data!$H$2:$H$228,MATCH(36,Data!$J$2:$J$228,0)),"")</f>
        <v/>
      </c>
    </row>
    <row r="42" customFormat="false" ht="48" hidden="false" customHeight="true" outlineLevel="0" collapsed="false">
      <c r="B42" s="11" t="str">
        <f aca="false">IFERROR(INDEX(Data!$A$2:$A$228,MATCH(37,Data!$J$2:$J$228,0)),"")</f>
        <v/>
      </c>
      <c r="C42" s="12" t="str">
        <f aca="false">IFERROR(INDEX(Data!$B$2:$B$228,MATCH(37,Data!$J$2:$J$228,0)),"")</f>
        <v/>
      </c>
      <c r="D42" s="12" t="str">
        <f aca="false">IFERROR(INDEX(Data!$C$2:$C$228,MATCH(37,Data!$J$2:$J$228,0)),"")</f>
        <v/>
      </c>
      <c r="E42" s="12" t="str">
        <f aca="false">IFERROR(INDEX(Data!$D$2:$D$228,MATCH(37,Data!$J$2:$J$228,0)),"")</f>
        <v/>
      </c>
      <c r="F42" s="12" t="str">
        <f aca="false">IFERROR(INDEX(Data!$E$2:$E$228,MATCH(37,Data!$J$2:$J$228,0)),"")</f>
        <v/>
      </c>
      <c r="G42" s="12" t="str">
        <f aca="false">IFERROR(INDEX(Data!$F$2:$F$228,MATCH(37,Data!$J$2:$J$228,0)),"")</f>
        <v/>
      </c>
      <c r="H42" s="12" t="str">
        <f aca="false">IFERROR(INDEX(Data!$G$2:$G$228,MATCH(37,Data!$J$2:$J$228,0)),"")</f>
        <v/>
      </c>
      <c r="I42" s="12" t="str">
        <f aca="false">IFERROR(INDEX(Data!$H$2:$H$228,MATCH(37,Data!$J$2:$J$228,0)),"")</f>
        <v/>
      </c>
    </row>
    <row r="43" customFormat="false" ht="48" hidden="false" customHeight="true" outlineLevel="0" collapsed="false">
      <c r="B43" s="11" t="str">
        <f aca="false">IFERROR(INDEX(Data!$A$2:$A$228,MATCH(38,Data!$J$2:$J$228,0)),"")</f>
        <v/>
      </c>
      <c r="C43" s="12" t="str">
        <f aca="false">IFERROR(INDEX(Data!$B$2:$B$228,MATCH(38,Data!$J$2:$J$228,0)),"")</f>
        <v/>
      </c>
      <c r="D43" s="12" t="str">
        <f aca="false">IFERROR(INDEX(Data!$C$2:$C$228,MATCH(38,Data!$J$2:$J$228,0)),"")</f>
        <v/>
      </c>
      <c r="E43" s="12" t="str">
        <f aca="false">IFERROR(INDEX(Data!$D$2:$D$228,MATCH(38,Data!$J$2:$J$228,0)),"")</f>
        <v/>
      </c>
      <c r="F43" s="12" t="str">
        <f aca="false">IFERROR(INDEX(Data!$E$2:$E$228,MATCH(38,Data!$J$2:$J$228,0)),"")</f>
        <v/>
      </c>
      <c r="G43" s="12" t="str">
        <f aca="false">IFERROR(INDEX(Data!$F$2:$F$228,MATCH(38,Data!$J$2:$J$228,0)),"")</f>
        <v/>
      </c>
      <c r="H43" s="12" t="str">
        <f aca="false">IFERROR(INDEX(Data!$G$2:$G$228,MATCH(38,Data!$J$2:$J$228,0)),"")</f>
        <v/>
      </c>
      <c r="I43" s="12" t="str">
        <f aca="false">IFERROR(INDEX(Data!$H$2:$H$228,MATCH(38,Data!$J$2:$J$228,0)),"")</f>
        <v/>
      </c>
    </row>
    <row r="44" customFormat="false" ht="48" hidden="false" customHeight="true" outlineLevel="0" collapsed="false">
      <c r="B44" s="11" t="str">
        <f aca="false">IFERROR(INDEX(Data!$A$2:$A$228,MATCH(39,Data!$J$2:$J$228,0)),"")</f>
        <v/>
      </c>
      <c r="C44" s="12" t="str">
        <f aca="false">IFERROR(INDEX(Data!$B$2:$B$228,MATCH(39,Data!$J$2:$J$228,0)),"")</f>
        <v/>
      </c>
      <c r="D44" s="12" t="str">
        <f aca="false">IFERROR(INDEX(Data!$C$2:$C$228,MATCH(39,Data!$J$2:$J$228,0)),"")</f>
        <v/>
      </c>
      <c r="E44" s="12" t="str">
        <f aca="false">IFERROR(INDEX(Data!$D$2:$D$228,MATCH(39,Data!$J$2:$J$228,0)),"")</f>
        <v/>
      </c>
      <c r="F44" s="12" t="str">
        <f aca="false">IFERROR(INDEX(Data!$E$2:$E$228,MATCH(39,Data!$J$2:$J$228,0)),"")</f>
        <v/>
      </c>
      <c r="G44" s="12" t="str">
        <f aca="false">IFERROR(INDEX(Data!$F$2:$F$228,MATCH(39,Data!$J$2:$J$228,0)),"")</f>
        <v/>
      </c>
      <c r="H44" s="12" t="str">
        <f aca="false">IFERROR(INDEX(Data!$G$2:$G$228,MATCH(39,Data!$J$2:$J$228,0)),"")</f>
        <v/>
      </c>
      <c r="I44" s="12" t="str">
        <f aca="false">IFERROR(INDEX(Data!$H$2:$H$228,MATCH(39,Data!$J$2:$J$228,0)),"")</f>
        <v/>
      </c>
    </row>
    <row r="45" customFormat="false" ht="48" hidden="false" customHeight="true" outlineLevel="0" collapsed="false">
      <c r="B45" s="11" t="str">
        <f aca="false">IFERROR(INDEX(Data!$A$2:$A$228,MATCH(40,Data!$J$2:$J$228,0)),"")</f>
        <v/>
      </c>
      <c r="C45" s="12" t="str">
        <f aca="false">IFERROR(INDEX(Data!$B$2:$B$228,MATCH(40,Data!$J$2:$J$228,0)),"")</f>
        <v/>
      </c>
      <c r="D45" s="12" t="str">
        <f aca="false">IFERROR(INDEX(Data!$C$2:$C$228,MATCH(40,Data!$J$2:$J$228,0)),"")</f>
        <v/>
      </c>
      <c r="E45" s="12" t="str">
        <f aca="false">IFERROR(INDEX(Data!$D$2:$D$228,MATCH(40,Data!$J$2:$J$228,0)),"")</f>
        <v/>
      </c>
      <c r="F45" s="12" t="str">
        <f aca="false">IFERROR(INDEX(Data!$E$2:$E$228,MATCH(40,Data!$J$2:$J$228,0)),"")</f>
        <v/>
      </c>
      <c r="G45" s="12" t="str">
        <f aca="false">IFERROR(INDEX(Data!$F$2:$F$228,MATCH(40,Data!$J$2:$J$228,0)),"")</f>
        <v/>
      </c>
      <c r="H45" s="12" t="str">
        <f aca="false">IFERROR(INDEX(Data!$G$2:$G$228,MATCH(40,Data!$J$2:$J$228,0)),"")</f>
        <v/>
      </c>
      <c r="I45" s="12" t="str">
        <f aca="false">IFERROR(INDEX(Data!$H$2:$H$228,MATCH(40,Data!$J$2:$J$228,0)),"")</f>
        <v/>
      </c>
    </row>
    <row r="47" customFormat="false" ht="15" hidden="false" customHeight="false" outlineLevel="0" collapsed="false">
      <c r="B47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6" min="5" style="0" width="32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8"/>
    <col collapsed="false" customWidth="true" hidden="false" outlineLevel="0" max="10" min="10" style="0" width="5"/>
  </cols>
  <sheetData>
    <row r="1" customFormat="false" ht="30" hidden="false" customHeight="true" outlineLevel="0" collapsed="false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3" t="s">
        <v>22</v>
      </c>
      <c r="J1" s="13" t="s">
        <v>23</v>
      </c>
    </row>
    <row r="2" customFormat="false" ht="15" hidden="false" customHeight="false" outlineLevel="0" collapsed="false">
      <c r="A2" s="11" t="s">
        <v>24</v>
      </c>
      <c r="B2" s="12" t="s">
        <v>25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4" t="b">
        <f aca="false">IF(Lookup!$B$3="",FALSE(),ISNUMBER(SEARCH(Lookup!$B$3,A2&amp;" "&amp;B2&amp;" "&amp;D2&amp;" "&amp;E2&amp;" "&amp;F2)))</f>
        <v>0</v>
      </c>
      <c r="J2" s="0" t="str">
        <f aca="false">IF(I2,COUNTIF($I$2:I2,TRUE()),"")</f>
        <v/>
      </c>
    </row>
    <row r="3" customFormat="false" ht="28.35" hidden="false" customHeight="false" outlineLevel="0" collapsed="false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/>
      <c r="I3" s="14" t="b">
        <f aca="false">IF(Lookup!$B$3="",FALSE(),ISNUMBER(SEARCH(Lookup!$B$3,A3&amp;" "&amp;B3&amp;" "&amp;D3&amp;" "&amp;E3&amp;" "&amp;F3)))</f>
        <v>0</v>
      </c>
      <c r="J3" s="0" t="str">
        <f aca="false">IF(I3,COUNTIF($I$2:I3,TRUE()),"")</f>
        <v/>
      </c>
    </row>
    <row r="4" customFormat="false" ht="15" hidden="false" customHeight="false" outlineLevel="0" collapsed="false">
      <c r="A4" s="11" t="s">
        <v>39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  <c r="I4" s="14" t="b">
        <f aca="false">IF(Lookup!$B$3="",FALSE(),ISNUMBER(SEARCH(Lookup!$B$3,A4&amp;" "&amp;B4&amp;" "&amp;D4&amp;" "&amp;E4&amp;" "&amp;F4)))</f>
        <v>0</v>
      </c>
      <c r="J4" s="0" t="str">
        <f aca="false">IF(I4,COUNTIF($I$2:I4,TRUE()),"")</f>
        <v/>
      </c>
    </row>
    <row r="5" customFormat="false" ht="28.35" hidden="false" customHeight="false" outlineLevel="0" collapsed="false">
      <c r="A5" s="11" t="s">
        <v>47</v>
      </c>
      <c r="B5" s="12" t="s">
        <v>48</v>
      </c>
      <c r="C5" s="12" t="s">
        <v>49</v>
      </c>
      <c r="D5" s="12" t="s">
        <v>50</v>
      </c>
      <c r="E5" s="12" t="s">
        <v>51</v>
      </c>
      <c r="F5" s="12" t="s">
        <v>52</v>
      </c>
      <c r="G5" s="12" t="s">
        <v>53</v>
      </c>
      <c r="H5" s="12" t="s">
        <v>54</v>
      </c>
      <c r="I5" s="14" t="b">
        <f aca="false">IF(Lookup!$B$3="",FALSE(),ISNUMBER(SEARCH(Lookup!$B$3,A5&amp;" "&amp;B5&amp;" "&amp;D5&amp;" "&amp;E5&amp;" "&amp;F5)))</f>
        <v>0</v>
      </c>
      <c r="J5" s="0" t="str">
        <f aca="false">IF(I5,COUNTIF($I$2:I5,TRUE()),"")</f>
        <v/>
      </c>
    </row>
    <row r="6" customFormat="false" ht="15" hidden="false" customHeight="false" outlineLevel="0" collapsed="false">
      <c r="A6" s="11" t="s">
        <v>55</v>
      </c>
      <c r="B6" s="12" t="s">
        <v>56</v>
      </c>
      <c r="C6" s="12" t="s">
        <v>57</v>
      </c>
      <c r="D6" s="12" t="s">
        <v>58</v>
      </c>
      <c r="E6" s="12" t="s">
        <v>59</v>
      </c>
      <c r="F6" s="12" t="s">
        <v>60</v>
      </c>
      <c r="G6" s="12" t="s">
        <v>61</v>
      </c>
      <c r="H6" s="12"/>
      <c r="I6" s="14" t="b">
        <f aca="false">IF(Lookup!$B$3="",FALSE(),ISNUMBER(SEARCH(Lookup!$B$3,A6&amp;" "&amp;B6&amp;" "&amp;D6&amp;" "&amp;E6&amp;" "&amp;F6)))</f>
        <v>0</v>
      </c>
      <c r="J6" s="0" t="str">
        <f aca="false">IF(I6,COUNTIF($I$2:I6,TRUE()),"")</f>
        <v/>
      </c>
    </row>
    <row r="7" customFormat="false" ht="15" hidden="false" customHeight="false" outlineLevel="0" collapsed="false">
      <c r="A7" s="11" t="s">
        <v>62</v>
      </c>
      <c r="B7" s="12" t="s">
        <v>63</v>
      </c>
      <c r="C7" s="12" t="s">
        <v>64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s="14" t="b">
        <f aca="false">IF(Lookup!$B$3="",FALSE(),ISNUMBER(SEARCH(Lookup!$B$3,A7&amp;" "&amp;B7&amp;" "&amp;D7&amp;" "&amp;E7&amp;" "&amp;F7)))</f>
        <v>0</v>
      </c>
      <c r="J7" s="0" t="str">
        <f aca="false">IF(I7,COUNTIF($I$2:I7,TRUE()),"")</f>
        <v/>
      </c>
    </row>
    <row r="8" customFormat="false" ht="15" hidden="false" customHeight="false" outlineLevel="0" collapsed="false">
      <c r="A8" s="11" t="s">
        <v>70</v>
      </c>
      <c r="B8" s="12" t="s">
        <v>71</v>
      </c>
      <c r="C8" s="12" t="s">
        <v>72</v>
      </c>
      <c r="D8" s="12" t="s">
        <v>73</v>
      </c>
      <c r="E8" s="12" t="s">
        <v>74</v>
      </c>
      <c r="F8" s="12" t="s">
        <v>75</v>
      </c>
      <c r="G8" s="12" t="s">
        <v>76</v>
      </c>
      <c r="H8" s="12"/>
      <c r="I8" s="14" t="b">
        <f aca="false">IF(Lookup!$B$3="",FALSE(),ISNUMBER(SEARCH(Lookup!$B$3,A8&amp;" "&amp;B8&amp;" "&amp;D8&amp;" "&amp;E8&amp;" "&amp;F8)))</f>
        <v>0</v>
      </c>
      <c r="J8" s="0" t="str">
        <f aca="false">IF(I8,COUNTIF($I$2:I8,TRUE()),"")</f>
        <v/>
      </c>
    </row>
    <row r="9" customFormat="false" ht="15" hidden="false" customHeight="false" outlineLevel="0" collapsed="false">
      <c r="A9" s="11" t="s">
        <v>77</v>
      </c>
      <c r="B9" s="12" t="s">
        <v>78</v>
      </c>
      <c r="C9" s="12" t="s">
        <v>79</v>
      </c>
      <c r="D9" s="12" t="s">
        <v>80</v>
      </c>
      <c r="E9" s="12" t="s">
        <v>81</v>
      </c>
      <c r="F9" s="12" t="s">
        <v>82</v>
      </c>
      <c r="G9" s="12" t="s">
        <v>83</v>
      </c>
      <c r="H9" s="12" t="s">
        <v>84</v>
      </c>
      <c r="I9" s="14" t="b">
        <f aca="false">IF(Lookup!$B$3="",FALSE(),ISNUMBER(SEARCH(Lookup!$B$3,A9&amp;" "&amp;B9&amp;" "&amp;D9&amp;" "&amp;E9&amp;" "&amp;F9)))</f>
        <v>0</v>
      </c>
      <c r="J9" s="0" t="str">
        <f aca="false">IF(I9,COUNTIF($I$2:I9,TRUE()),"")</f>
        <v/>
      </c>
    </row>
    <row r="10" customFormat="false" ht="15" hidden="false" customHeight="false" outlineLevel="0" collapsed="false">
      <c r="A10" s="11" t="s">
        <v>85</v>
      </c>
      <c r="B10" s="12" t="s">
        <v>86</v>
      </c>
      <c r="C10" s="12" t="s">
        <v>87</v>
      </c>
      <c r="D10" s="12" t="s">
        <v>88</v>
      </c>
      <c r="E10" s="12" t="s">
        <v>89</v>
      </c>
      <c r="F10" s="12" t="s">
        <v>90</v>
      </c>
      <c r="G10" s="12" t="s">
        <v>91</v>
      </c>
      <c r="H10" s="12"/>
      <c r="I10" s="14" t="b">
        <f aca="false">IF(Lookup!$B$3="",FALSE(),ISNUMBER(SEARCH(Lookup!$B$3,A10&amp;" "&amp;B10&amp;" "&amp;D10&amp;" "&amp;E10&amp;" "&amp;F10)))</f>
        <v>0</v>
      </c>
      <c r="J10" s="0" t="str">
        <f aca="false">IF(I10,COUNTIF($I$2:I10,TRUE()),"")</f>
        <v/>
      </c>
    </row>
    <row r="11" customFormat="false" ht="15" hidden="false" customHeight="false" outlineLevel="0" collapsed="false">
      <c r="A11" s="11" t="s">
        <v>92</v>
      </c>
      <c r="B11" s="12" t="s">
        <v>93</v>
      </c>
      <c r="C11" s="12" t="s">
        <v>94</v>
      </c>
      <c r="D11" s="12" t="s">
        <v>95</v>
      </c>
      <c r="E11" s="12" t="s">
        <v>96</v>
      </c>
      <c r="F11" s="12" t="s">
        <v>97</v>
      </c>
      <c r="G11" s="12" t="s">
        <v>98</v>
      </c>
      <c r="H11" s="12"/>
      <c r="I11" s="14" t="b">
        <f aca="false">IF(Lookup!$B$3="",FALSE(),ISNUMBER(SEARCH(Lookup!$B$3,A11&amp;" "&amp;B11&amp;" "&amp;D11&amp;" "&amp;E11&amp;" "&amp;F11)))</f>
        <v>0</v>
      </c>
      <c r="J11" s="0" t="str">
        <f aca="false">IF(I11,COUNTIF($I$2:I11,TRUE()),"")</f>
        <v/>
      </c>
    </row>
    <row r="12" customFormat="false" ht="15" hidden="false" customHeight="false" outlineLevel="0" collapsed="false">
      <c r="A12" s="11" t="s">
        <v>99</v>
      </c>
      <c r="B12" s="12" t="s">
        <v>100</v>
      </c>
      <c r="C12" s="12" t="s">
        <v>101</v>
      </c>
      <c r="D12" s="12" t="s">
        <v>102</v>
      </c>
      <c r="E12" s="12" t="s">
        <v>103</v>
      </c>
      <c r="F12" s="12" t="s">
        <v>104</v>
      </c>
      <c r="G12" s="12" t="s">
        <v>105</v>
      </c>
      <c r="H12" s="12"/>
      <c r="I12" s="14" t="b">
        <f aca="false">IF(Lookup!$B$3="",FALSE(),ISNUMBER(SEARCH(Lookup!$B$3,A12&amp;" "&amp;B12&amp;" "&amp;D12&amp;" "&amp;E12&amp;" "&amp;F12)))</f>
        <v>0</v>
      </c>
      <c r="J12" s="0" t="str">
        <f aca="false">IF(I12,COUNTIF($I$2:I12,TRUE()),"")</f>
        <v/>
      </c>
    </row>
    <row r="13" customFormat="false" ht="15" hidden="false" customHeight="false" outlineLevel="0" collapsed="false">
      <c r="A13" s="11" t="s">
        <v>106</v>
      </c>
      <c r="B13" s="12" t="s">
        <v>107</v>
      </c>
      <c r="C13" s="12" t="s">
        <v>108</v>
      </c>
      <c r="D13" s="12" t="s">
        <v>109</v>
      </c>
      <c r="E13" s="12" t="s">
        <v>110</v>
      </c>
      <c r="F13" s="12" t="s">
        <v>111</v>
      </c>
      <c r="G13" s="12" t="s">
        <v>112</v>
      </c>
      <c r="H13" s="12" t="s">
        <v>113</v>
      </c>
      <c r="I13" s="14" t="b">
        <f aca="false">IF(Lookup!$B$3="",FALSE(),ISNUMBER(SEARCH(Lookup!$B$3,A13&amp;" "&amp;B13&amp;" "&amp;D13&amp;" "&amp;E13&amp;" "&amp;F13)))</f>
        <v>0</v>
      </c>
      <c r="J13" s="0" t="str">
        <f aca="false">IF(I13,COUNTIF($I$2:I13,TRUE()),"")</f>
        <v/>
      </c>
    </row>
    <row r="14" customFormat="false" ht="28.35" hidden="false" customHeight="false" outlineLevel="0" collapsed="false">
      <c r="A14" s="11" t="s">
        <v>114</v>
      </c>
      <c r="B14" s="12" t="s">
        <v>115</v>
      </c>
      <c r="C14" s="12" t="s">
        <v>116</v>
      </c>
      <c r="D14" s="12" t="s">
        <v>117</v>
      </c>
      <c r="E14" s="12" t="s">
        <v>118</v>
      </c>
      <c r="F14" s="12" t="s">
        <v>119</v>
      </c>
      <c r="G14" s="12" t="s">
        <v>120</v>
      </c>
      <c r="H14" s="12"/>
      <c r="I14" s="14" t="b">
        <f aca="false">IF(Lookup!$B$3="",FALSE(),ISNUMBER(SEARCH(Lookup!$B$3,A14&amp;" "&amp;B14&amp;" "&amp;D14&amp;" "&amp;E14&amp;" "&amp;F14)))</f>
        <v>0</v>
      </c>
      <c r="J14" s="0" t="str">
        <f aca="false">IF(I14,COUNTIF($I$2:I14,TRUE()),"")</f>
        <v/>
      </c>
    </row>
    <row r="15" customFormat="false" ht="28.35" hidden="false" customHeight="false" outlineLevel="0" collapsed="false">
      <c r="A15" s="11" t="s">
        <v>121</v>
      </c>
      <c r="B15" s="12" t="s">
        <v>122</v>
      </c>
      <c r="C15" s="12" t="s">
        <v>123</v>
      </c>
      <c r="D15" s="12" t="s">
        <v>124</v>
      </c>
      <c r="E15" s="12" t="s">
        <v>125</v>
      </c>
      <c r="F15" s="12" t="s">
        <v>126</v>
      </c>
      <c r="G15" s="12" t="s">
        <v>127</v>
      </c>
      <c r="H15" s="12" t="s">
        <v>128</v>
      </c>
      <c r="I15" s="14" t="b">
        <f aca="false">IF(Lookup!$B$3="",FALSE(),ISNUMBER(SEARCH(Lookup!$B$3,A15&amp;" "&amp;B15&amp;" "&amp;D15&amp;" "&amp;E15&amp;" "&amp;F15)))</f>
        <v>0</v>
      </c>
      <c r="J15" s="0" t="str">
        <f aca="false">IF(I15,COUNTIF($I$2:I15,TRUE()),"")</f>
        <v/>
      </c>
    </row>
    <row r="16" customFormat="false" ht="28.35" hidden="false" customHeight="false" outlineLevel="0" collapsed="false">
      <c r="A16" s="11" t="s">
        <v>129</v>
      </c>
      <c r="B16" s="12" t="s">
        <v>130</v>
      </c>
      <c r="C16" s="12" t="s">
        <v>131</v>
      </c>
      <c r="D16" s="12" t="s">
        <v>132</v>
      </c>
      <c r="E16" s="12" t="s">
        <v>133</v>
      </c>
      <c r="F16" s="12" t="s">
        <v>134</v>
      </c>
      <c r="G16" s="12" t="s">
        <v>135</v>
      </c>
      <c r="H16" s="12" t="s">
        <v>136</v>
      </c>
      <c r="I16" s="14" t="b">
        <f aca="false">IF(Lookup!$B$3="",FALSE(),ISNUMBER(SEARCH(Lookup!$B$3,A16&amp;" "&amp;B16&amp;" "&amp;D16&amp;" "&amp;E16&amp;" "&amp;F16)))</f>
        <v>0</v>
      </c>
      <c r="J16" s="0" t="str">
        <f aca="false">IF(I16,COUNTIF($I$2:I16,TRUE()),"")</f>
        <v/>
      </c>
    </row>
    <row r="17" customFormat="false" ht="15" hidden="false" customHeight="false" outlineLevel="0" collapsed="false">
      <c r="A17" s="11" t="s">
        <v>137</v>
      </c>
      <c r="B17" s="12" t="s">
        <v>138</v>
      </c>
      <c r="C17" s="12" t="s">
        <v>139</v>
      </c>
      <c r="D17" s="12" t="s">
        <v>140</v>
      </c>
      <c r="E17" s="12" t="s">
        <v>141</v>
      </c>
      <c r="F17" s="12" t="s">
        <v>142</v>
      </c>
      <c r="G17" s="12" t="s">
        <v>143</v>
      </c>
      <c r="H17" s="12" t="s">
        <v>144</v>
      </c>
      <c r="I17" s="14" t="b">
        <f aca="false">IF(Lookup!$B$3="",FALSE(),ISNUMBER(SEARCH(Lookup!$B$3,A17&amp;" "&amp;B17&amp;" "&amp;D17&amp;" "&amp;E17&amp;" "&amp;F17)))</f>
        <v>0</v>
      </c>
      <c r="J17" s="0" t="str">
        <f aca="false">IF(I17,COUNTIF($I$2:I17,TRUE()),"")</f>
        <v/>
      </c>
    </row>
    <row r="18" customFormat="false" ht="15" hidden="false" customHeight="false" outlineLevel="0" collapsed="false">
      <c r="A18" s="11" t="s">
        <v>145</v>
      </c>
      <c r="B18" s="12" t="s">
        <v>146</v>
      </c>
      <c r="C18" s="12" t="s">
        <v>147</v>
      </c>
      <c r="D18" s="12" t="s">
        <v>148</v>
      </c>
      <c r="E18" s="12" t="s">
        <v>149</v>
      </c>
      <c r="F18" s="12" t="s">
        <v>150</v>
      </c>
      <c r="G18" s="12" t="s">
        <v>151</v>
      </c>
      <c r="H18" s="12" t="s">
        <v>152</v>
      </c>
      <c r="I18" s="14" t="b">
        <f aca="false">IF(Lookup!$B$3="",FALSE(),ISNUMBER(SEARCH(Lookup!$B$3,A18&amp;" "&amp;B18&amp;" "&amp;D18&amp;" "&amp;E18&amp;" "&amp;F18)))</f>
        <v>0</v>
      </c>
      <c r="J18" s="0" t="str">
        <f aca="false">IF(I18,COUNTIF($I$2:I18,TRUE()),"")</f>
        <v/>
      </c>
    </row>
    <row r="19" customFormat="false" ht="15" hidden="false" customHeight="false" outlineLevel="0" collapsed="false">
      <c r="A19" s="11" t="s">
        <v>153</v>
      </c>
      <c r="B19" s="12" t="s">
        <v>154</v>
      </c>
      <c r="C19" s="12" t="s">
        <v>155</v>
      </c>
      <c r="D19" s="12" t="s">
        <v>156</v>
      </c>
      <c r="E19" s="12" t="s">
        <v>157</v>
      </c>
      <c r="F19" s="12" t="s">
        <v>158</v>
      </c>
      <c r="G19" s="12" t="s">
        <v>159</v>
      </c>
      <c r="H19" s="12"/>
      <c r="I19" s="14" t="b">
        <f aca="false">IF(Lookup!$B$3="",FALSE(),ISNUMBER(SEARCH(Lookup!$B$3,A19&amp;" "&amp;B19&amp;" "&amp;D19&amp;" "&amp;E19&amp;" "&amp;F19)))</f>
        <v>0</v>
      </c>
      <c r="J19" s="0" t="str">
        <f aca="false">IF(I19,COUNTIF($I$2:I19,TRUE()),"")</f>
        <v/>
      </c>
    </row>
    <row r="20" customFormat="false" ht="15" hidden="false" customHeight="false" outlineLevel="0" collapsed="false">
      <c r="A20" s="11" t="s">
        <v>160</v>
      </c>
      <c r="B20" s="12" t="s">
        <v>161</v>
      </c>
      <c r="C20" s="12" t="s">
        <v>162</v>
      </c>
      <c r="D20" s="12" t="s">
        <v>163</v>
      </c>
      <c r="E20" s="12" t="s">
        <v>164</v>
      </c>
      <c r="F20" s="12" t="s">
        <v>165</v>
      </c>
      <c r="G20" s="12" t="s">
        <v>166</v>
      </c>
      <c r="H20" s="12"/>
      <c r="I20" s="14" t="b">
        <f aca="false">IF(Lookup!$B$3="",FALSE(),ISNUMBER(SEARCH(Lookup!$B$3,A20&amp;" "&amp;B20&amp;" "&amp;D20&amp;" "&amp;E20&amp;" "&amp;F20)))</f>
        <v>0</v>
      </c>
      <c r="J20" s="0" t="str">
        <f aca="false">IF(I20,COUNTIF($I$2:I20,TRUE()),"")</f>
        <v/>
      </c>
    </row>
    <row r="21" customFormat="false" ht="15" hidden="false" customHeight="false" outlineLevel="0" collapsed="false">
      <c r="A21" s="11" t="s">
        <v>167</v>
      </c>
      <c r="B21" s="12" t="s">
        <v>168</v>
      </c>
      <c r="C21" s="12" t="s">
        <v>169</v>
      </c>
      <c r="D21" s="12" t="s">
        <v>170</v>
      </c>
      <c r="E21" s="12" t="s">
        <v>171</v>
      </c>
      <c r="F21" s="12" t="s">
        <v>172</v>
      </c>
      <c r="G21" s="12" t="s">
        <v>173</v>
      </c>
      <c r="H21" s="12"/>
      <c r="I21" s="14" t="b">
        <f aca="false">IF(Lookup!$B$3="",FALSE(),ISNUMBER(SEARCH(Lookup!$B$3,A21&amp;" "&amp;B21&amp;" "&amp;D21&amp;" "&amp;E21&amp;" "&amp;F21)))</f>
        <v>0</v>
      </c>
      <c r="J21" s="0" t="str">
        <f aca="false">IF(I21,COUNTIF($I$2:I21,TRUE()),"")</f>
        <v/>
      </c>
    </row>
    <row r="22" customFormat="false" ht="15" hidden="false" customHeight="false" outlineLevel="0" collapsed="false">
      <c r="A22" s="11" t="s">
        <v>174</v>
      </c>
      <c r="B22" s="12" t="s">
        <v>175</v>
      </c>
      <c r="C22" s="12" t="s">
        <v>176</v>
      </c>
      <c r="D22" s="12" t="s">
        <v>177</v>
      </c>
      <c r="E22" s="12" t="s">
        <v>178</v>
      </c>
      <c r="F22" s="12" t="s">
        <v>179</v>
      </c>
      <c r="G22" s="12" t="s">
        <v>180</v>
      </c>
      <c r="H22" s="12"/>
      <c r="I22" s="14" t="b">
        <f aca="false">IF(Lookup!$B$3="",FALSE(),ISNUMBER(SEARCH(Lookup!$B$3,A22&amp;" "&amp;B22&amp;" "&amp;D22&amp;" "&amp;E22&amp;" "&amp;F22)))</f>
        <v>0</v>
      </c>
      <c r="J22" s="0" t="str">
        <f aca="false">IF(I22,COUNTIF($I$2:I22,TRUE()),"")</f>
        <v/>
      </c>
    </row>
    <row r="23" customFormat="false" ht="15" hidden="false" customHeight="false" outlineLevel="0" collapsed="false">
      <c r="A23" s="11" t="s">
        <v>181</v>
      </c>
      <c r="B23" s="12" t="s">
        <v>182</v>
      </c>
      <c r="C23" s="12" t="s">
        <v>183</v>
      </c>
      <c r="D23" s="12" t="s">
        <v>184</v>
      </c>
      <c r="E23" s="12" t="s">
        <v>185</v>
      </c>
      <c r="F23" s="12" t="s">
        <v>186</v>
      </c>
      <c r="G23" s="12" t="s">
        <v>187</v>
      </c>
      <c r="H23" s="12" t="s">
        <v>188</v>
      </c>
      <c r="I23" s="14" t="b">
        <f aca="false">IF(Lookup!$B$3="",FALSE(),ISNUMBER(SEARCH(Lookup!$B$3,A23&amp;" "&amp;B23&amp;" "&amp;D23&amp;" "&amp;E23&amp;" "&amp;F23)))</f>
        <v>0</v>
      </c>
      <c r="J23" s="0" t="str">
        <f aca="false">IF(I23,COUNTIF($I$2:I23,TRUE()),"")</f>
        <v/>
      </c>
    </row>
    <row r="24" customFormat="false" ht="15" hidden="false" customHeight="false" outlineLevel="0" collapsed="false">
      <c r="A24" s="11" t="s">
        <v>189</v>
      </c>
      <c r="B24" s="12" t="s">
        <v>190</v>
      </c>
      <c r="C24" s="12" t="s">
        <v>191</v>
      </c>
      <c r="D24" s="12" t="s">
        <v>192</v>
      </c>
      <c r="E24" s="12" t="s">
        <v>193</v>
      </c>
      <c r="F24" s="12" t="s">
        <v>194</v>
      </c>
      <c r="G24" s="12" t="s">
        <v>195</v>
      </c>
      <c r="H24" s="12" t="s">
        <v>196</v>
      </c>
      <c r="I24" s="14" t="b">
        <f aca="false">IF(Lookup!$B$3="",FALSE(),ISNUMBER(SEARCH(Lookup!$B$3,A24&amp;" "&amp;B24&amp;" "&amp;D24&amp;" "&amp;E24&amp;" "&amp;F24)))</f>
        <v>0</v>
      </c>
      <c r="J24" s="0" t="str">
        <f aca="false">IF(I24,COUNTIF($I$2:I24,TRUE()),"")</f>
        <v/>
      </c>
    </row>
    <row r="25" customFormat="false" ht="15" hidden="false" customHeight="false" outlineLevel="0" collapsed="false">
      <c r="A25" s="11" t="s">
        <v>197</v>
      </c>
      <c r="B25" s="12" t="s">
        <v>198</v>
      </c>
      <c r="C25" s="12" t="s">
        <v>199</v>
      </c>
      <c r="D25" s="12" t="s">
        <v>200</v>
      </c>
      <c r="E25" s="12" t="s">
        <v>201</v>
      </c>
      <c r="F25" s="12" t="s">
        <v>201</v>
      </c>
      <c r="G25" s="12" t="s">
        <v>202</v>
      </c>
      <c r="H25" s="12" t="s">
        <v>203</v>
      </c>
      <c r="I25" s="14" t="b">
        <f aca="false">IF(Lookup!$B$3="",FALSE(),ISNUMBER(SEARCH(Lookup!$B$3,A25&amp;" "&amp;B25&amp;" "&amp;D25&amp;" "&amp;E25&amp;" "&amp;F25)))</f>
        <v>0</v>
      </c>
      <c r="J25" s="0" t="str">
        <f aca="false">IF(I25,COUNTIF($I$2:I25,TRUE()),"")</f>
        <v/>
      </c>
    </row>
    <row r="26" customFormat="false" ht="28.35" hidden="false" customHeight="false" outlineLevel="0" collapsed="false">
      <c r="A26" s="11" t="s">
        <v>204</v>
      </c>
      <c r="B26" s="12" t="s">
        <v>205</v>
      </c>
      <c r="C26" s="12" t="s">
        <v>206</v>
      </c>
      <c r="D26" s="12" t="s">
        <v>207</v>
      </c>
      <c r="E26" s="12" t="s">
        <v>208</v>
      </c>
      <c r="F26" s="12" t="s">
        <v>209</v>
      </c>
      <c r="G26" s="12" t="s">
        <v>210</v>
      </c>
      <c r="H26" s="12"/>
      <c r="I26" s="14" t="b">
        <f aca="false">IF(Lookup!$B$3="",FALSE(),ISNUMBER(SEARCH(Lookup!$B$3,A26&amp;" "&amp;B26&amp;" "&amp;D26&amp;" "&amp;E26&amp;" "&amp;F26)))</f>
        <v>0</v>
      </c>
      <c r="J26" s="0" t="str">
        <f aca="false">IF(I26,COUNTIF($I$2:I26,TRUE()),"")</f>
        <v/>
      </c>
    </row>
    <row r="27" customFormat="false" ht="28.35" hidden="false" customHeight="false" outlineLevel="0" collapsed="false">
      <c r="A27" s="11" t="s">
        <v>211</v>
      </c>
      <c r="B27" s="12" t="s">
        <v>212</v>
      </c>
      <c r="C27" s="12" t="s">
        <v>213</v>
      </c>
      <c r="D27" s="12" t="s">
        <v>214</v>
      </c>
      <c r="E27" s="12" t="s">
        <v>215</v>
      </c>
      <c r="F27" s="12" t="s">
        <v>216</v>
      </c>
      <c r="G27" s="12" t="s">
        <v>217</v>
      </c>
      <c r="H27" s="12" t="s">
        <v>218</v>
      </c>
      <c r="I27" s="14" t="b">
        <f aca="false">IF(Lookup!$B$3="",FALSE(),ISNUMBER(SEARCH(Lookup!$B$3,A27&amp;" "&amp;B27&amp;" "&amp;D27&amp;" "&amp;E27&amp;" "&amp;F27)))</f>
        <v>0</v>
      </c>
      <c r="J27" s="0" t="str">
        <f aca="false">IF(I27,COUNTIF($I$2:I27,TRUE()),"")</f>
        <v/>
      </c>
    </row>
    <row r="28" customFormat="false" ht="15" hidden="false" customHeight="false" outlineLevel="0" collapsed="false">
      <c r="A28" s="11" t="s">
        <v>219</v>
      </c>
      <c r="B28" s="12" t="s">
        <v>175</v>
      </c>
      <c r="C28" s="12" t="s">
        <v>108</v>
      </c>
      <c r="D28" s="12" t="s">
        <v>220</v>
      </c>
      <c r="E28" s="12" t="s">
        <v>221</v>
      </c>
      <c r="F28" s="12" t="s">
        <v>222</v>
      </c>
      <c r="G28" s="12" t="s">
        <v>223</v>
      </c>
      <c r="H28" s="12"/>
      <c r="I28" s="14" t="b">
        <f aca="false">IF(Lookup!$B$3="",FALSE(),ISNUMBER(SEARCH(Lookup!$B$3,A28&amp;" "&amp;B28&amp;" "&amp;D28&amp;" "&amp;E28&amp;" "&amp;F28)))</f>
        <v>0</v>
      </c>
      <c r="J28" s="0" t="str">
        <f aca="false">IF(I28,COUNTIF($I$2:I28,TRUE()),"")</f>
        <v/>
      </c>
    </row>
    <row r="29" customFormat="false" ht="28.35" hidden="false" customHeight="false" outlineLevel="0" collapsed="false">
      <c r="A29" s="11" t="s">
        <v>224</v>
      </c>
      <c r="B29" s="12" t="s">
        <v>225</v>
      </c>
      <c r="C29" s="12" t="s">
        <v>226</v>
      </c>
      <c r="D29" s="12" t="s">
        <v>227</v>
      </c>
      <c r="E29" s="12" t="s">
        <v>228</v>
      </c>
      <c r="F29" s="12" t="s">
        <v>229</v>
      </c>
      <c r="G29" s="12" t="s">
        <v>230</v>
      </c>
      <c r="H29" s="12"/>
      <c r="I29" s="14" t="b">
        <f aca="false">IF(Lookup!$B$3="",FALSE(),ISNUMBER(SEARCH(Lookup!$B$3,A29&amp;" "&amp;B29&amp;" "&amp;D29&amp;" "&amp;E29&amp;" "&amp;F29)))</f>
        <v>0</v>
      </c>
      <c r="J29" s="0" t="str">
        <f aca="false">IF(I29,COUNTIF($I$2:I29,TRUE()),"")</f>
        <v/>
      </c>
    </row>
    <row r="30" customFormat="false" ht="28.35" hidden="false" customHeight="false" outlineLevel="0" collapsed="false">
      <c r="A30" s="11" t="s">
        <v>231</v>
      </c>
      <c r="B30" s="12" t="s">
        <v>232</v>
      </c>
      <c r="C30" s="12" t="s">
        <v>233</v>
      </c>
      <c r="D30" s="12" t="s">
        <v>234</v>
      </c>
      <c r="E30" s="12" t="s">
        <v>235</v>
      </c>
      <c r="F30" s="12" t="s">
        <v>236</v>
      </c>
      <c r="G30" s="12" t="s">
        <v>237</v>
      </c>
      <c r="H30" s="12"/>
      <c r="I30" s="14" t="b">
        <f aca="false">IF(Lookup!$B$3="",FALSE(),ISNUMBER(SEARCH(Lookup!$B$3,A30&amp;" "&amp;B30&amp;" "&amp;D30&amp;" "&amp;E30&amp;" "&amp;F30)))</f>
        <v>0</v>
      </c>
      <c r="J30" s="0" t="str">
        <f aca="false">IF(I30,COUNTIF($I$2:I30,TRUE()),"")</f>
        <v/>
      </c>
    </row>
    <row r="31" customFormat="false" ht="15" hidden="false" customHeight="false" outlineLevel="0" collapsed="false">
      <c r="A31" s="11" t="s">
        <v>238</v>
      </c>
      <c r="B31" s="12" t="s">
        <v>239</v>
      </c>
      <c r="C31" s="12" t="s">
        <v>240</v>
      </c>
      <c r="D31" s="12" t="s">
        <v>241</v>
      </c>
      <c r="E31" s="12" t="s">
        <v>242</v>
      </c>
      <c r="F31" s="12" t="s">
        <v>243</v>
      </c>
      <c r="G31" s="12" t="s">
        <v>244</v>
      </c>
      <c r="H31" s="12" t="s">
        <v>245</v>
      </c>
      <c r="I31" s="14" t="b">
        <f aca="false">IF(Lookup!$B$3="",FALSE(),ISNUMBER(SEARCH(Lookup!$B$3,A31&amp;" "&amp;B31&amp;" "&amp;D31&amp;" "&amp;E31&amp;" "&amp;F31)))</f>
        <v>0</v>
      </c>
      <c r="J31" s="0" t="str">
        <f aca="false">IF(I31,COUNTIF($I$2:I31,TRUE()),"")</f>
        <v/>
      </c>
    </row>
    <row r="32" customFormat="false" ht="28.35" hidden="false" customHeight="false" outlineLevel="0" collapsed="false">
      <c r="A32" s="11" t="s">
        <v>246</v>
      </c>
      <c r="B32" s="12" t="s">
        <v>247</v>
      </c>
      <c r="C32" s="12" t="s">
        <v>248</v>
      </c>
      <c r="D32" s="12" t="s">
        <v>249</v>
      </c>
      <c r="E32" s="12" t="s">
        <v>250</v>
      </c>
      <c r="F32" s="12" t="s">
        <v>251</v>
      </c>
      <c r="G32" s="12" t="s">
        <v>252</v>
      </c>
      <c r="H32" s="12"/>
      <c r="I32" s="14" t="b">
        <f aca="false">IF(Lookup!$B$3="",FALSE(),ISNUMBER(SEARCH(Lookup!$B$3,A32&amp;" "&amp;B32&amp;" "&amp;D32&amp;" "&amp;E32&amp;" "&amp;F32)))</f>
        <v>0</v>
      </c>
      <c r="J32" s="0" t="str">
        <f aca="false">IF(I32,COUNTIF($I$2:I32,TRUE()),"")</f>
        <v/>
      </c>
    </row>
    <row r="33" customFormat="false" ht="28.35" hidden="false" customHeight="false" outlineLevel="0" collapsed="false">
      <c r="A33" s="11" t="s">
        <v>253</v>
      </c>
      <c r="B33" s="12" t="s">
        <v>254</v>
      </c>
      <c r="C33" s="12" t="s">
        <v>255</v>
      </c>
      <c r="D33" s="12" t="s">
        <v>256</v>
      </c>
      <c r="E33" s="12" t="s">
        <v>257</v>
      </c>
      <c r="F33" s="12" t="s">
        <v>258</v>
      </c>
      <c r="G33" s="12" t="s">
        <v>259</v>
      </c>
      <c r="H33" s="12"/>
      <c r="I33" s="14" t="b">
        <f aca="false">IF(Lookup!$B$3="",FALSE(),ISNUMBER(SEARCH(Lookup!$B$3,A33&amp;" "&amp;B33&amp;" "&amp;D33&amp;" "&amp;E33&amp;" "&amp;F33)))</f>
        <v>0</v>
      </c>
      <c r="J33" s="0" t="str">
        <f aca="false">IF(I33,COUNTIF($I$2:I33,TRUE()),"")</f>
        <v/>
      </c>
    </row>
    <row r="34" customFormat="false" ht="15" hidden="false" customHeight="false" outlineLevel="0" collapsed="false">
      <c r="A34" s="11" t="s">
        <v>260</v>
      </c>
      <c r="B34" s="12" t="s">
        <v>261</v>
      </c>
      <c r="C34" s="12" t="s">
        <v>262</v>
      </c>
      <c r="D34" s="12" t="s">
        <v>263</v>
      </c>
      <c r="E34" s="12" t="s">
        <v>264</v>
      </c>
      <c r="F34" s="12" t="s">
        <v>265</v>
      </c>
      <c r="G34" s="12" t="s">
        <v>266</v>
      </c>
      <c r="H34" s="12"/>
      <c r="I34" s="14" t="b">
        <f aca="false">IF(Lookup!$B$3="",FALSE(),ISNUMBER(SEARCH(Lookup!$B$3,A34&amp;" "&amp;B34&amp;" "&amp;D34&amp;" "&amp;E34&amp;" "&amp;F34)))</f>
        <v>0</v>
      </c>
      <c r="J34" s="0" t="str">
        <f aca="false">IF(I34,COUNTIF($I$2:I34,TRUE()),"")</f>
        <v/>
      </c>
    </row>
    <row r="35" customFormat="false" ht="15" hidden="false" customHeight="false" outlineLevel="0" collapsed="false">
      <c r="A35" s="11" t="s">
        <v>267</v>
      </c>
      <c r="B35" s="12" t="s">
        <v>268</v>
      </c>
      <c r="C35" s="12" t="s">
        <v>269</v>
      </c>
      <c r="D35" s="12" t="s">
        <v>270</v>
      </c>
      <c r="E35" s="12" t="s">
        <v>271</v>
      </c>
      <c r="F35" s="12" t="s">
        <v>272</v>
      </c>
      <c r="G35" s="12" t="s">
        <v>273</v>
      </c>
      <c r="H35" s="12" t="s">
        <v>274</v>
      </c>
      <c r="I35" s="14" t="b">
        <f aca="false">IF(Lookup!$B$3="",FALSE(),ISNUMBER(SEARCH(Lookup!$B$3,A35&amp;" "&amp;B35&amp;" "&amp;D35&amp;" "&amp;E35&amp;" "&amp;F35)))</f>
        <v>0</v>
      </c>
      <c r="J35" s="0" t="str">
        <f aca="false">IF(I35,COUNTIF($I$2:I35,TRUE()),"")</f>
        <v/>
      </c>
    </row>
    <row r="36" customFormat="false" ht="15" hidden="false" customHeight="false" outlineLevel="0" collapsed="false">
      <c r="A36" s="11" t="s">
        <v>275</v>
      </c>
      <c r="B36" s="12" t="s">
        <v>276</v>
      </c>
      <c r="C36" s="12" t="s">
        <v>277</v>
      </c>
      <c r="D36" s="12" t="s">
        <v>278</v>
      </c>
      <c r="E36" s="12" t="s">
        <v>279</v>
      </c>
      <c r="F36" s="12" t="s">
        <v>280</v>
      </c>
      <c r="G36" s="12" t="s">
        <v>281</v>
      </c>
      <c r="H36" s="12"/>
      <c r="I36" s="14" t="b">
        <f aca="false">IF(Lookup!$B$3="",FALSE(),ISNUMBER(SEARCH(Lookup!$B$3,A36&amp;" "&amp;B36&amp;" "&amp;D36&amp;" "&amp;E36&amp;" "&amp;F36)))</f>
        <v>0</v>
      </c>
      <c r="J36" s="0" t="str">
        <f aca="false">IF(I36,COUNTIF($I$2:I36,TRUE()),"")</f>
        <v/>
      </c>
    </row>
    <row r="37" customFormat="false" ht="15" hidden="false" customHeight="false" outlineLevel="0" collapsed="false">
      <c r="A37" s="11" t="s">
        <v>282</v>
      </c>
      <c r="B37" s="12" t="s">
        <v>283</v>
      </c>
      <c r="C37" s="12" t="s">
        <v>284</v>
      </c>
      <c r="D37" s="12" t="s">
        <v>285</v>
      </c>
      <c r="E37" s="12" t="s">
        <v>286</v>
      </c>
      <c r="F37" s="12" t="s">
        <v>287</v>
      </c>
      <c r="G37" s="12" t="s">
        <v>288</v>
      </c>
      <c r="H37" s="12" t="s">
        <v>31</v>
      </c>
      <c r="I37" s="14" t="b">
        <f aca="false">IF(Lookup!$B$3="",FALSE(),ISNUMBER(SEARCH(Lookup!$B$3,A37&amp;" "&amp;B37&amp;" "&amp;D37&amp;" "&amp;E37&amp;" "&amp;F37)))</f>
        <v>0</v>
      </c>
      <c r="J37" s="0" t="str">
        <f aca="false">IF(I37,COUNTIF($I$2:I37,TRUE()),"")</f>
        <v/>
      </c>
    </row>
    <row r="38" customFormat="false" ht="28.35" hidden="false" customHeight="false" outlineLevel="0" collapsed="false">
      <c r="A38" s="11" t="s">
        <v>289</v>
      </c>
      <c r="B38" s="12" t="s">
        <v>290</v>
      </c>
      <c r="C38" s="12" t="s">
        <v>291</v>
      </c>
      <c r="D38" s="12" t="s">
        <v>292</v>
      </c>
      <c r="E38" s="12" t="s">
        <v>293</v>
      </c>
      <c r="F38" s="12" t="s">
        <v>294</v>
      </c>
      <c r="G38" s="12" t="s">
        <v>295</v>
      </c>
      <c r="H38" s="12"/>
      <c r="I38" s="14" t="b">
        <f aca="false">IF(Lookup!$B$3="",FALSE(),ISNUMBER(SEARCH(Lookup!$B$3,A38&amp;" "&amp;B38&amp;" "&amp;D38&amp;" "&amp;E38&amp;" "&amp;F38)))</f>
        <v>0</v>
      </c>
      <c r="J38" s="0" t="str">
        <f aca="false">IF(I38,COUNTIF($I$2:I38,TRUE()),"")</f>
        <v/>
      </c>
    </row>
    <row r="39" customFormat="false" ht="15" hidden="false" customHeight="false" outlineLevel="0" collapsed="false">
      <c r="A39" s="11" t="s">
        <v>296</v>
      </c>
      <c r="B39" s="12" t="s">
        <v>297</v>
      </c>
      <c r="C39" s="12" t="s">
        <v>298</v>
      </c>
      <c r="D39" s="12" t="s">
        <v>299</v>
      </c>
      <c r="E39" s="12" t="s">
        <v>300</v>
      </c>
      <c r="F39" s="12" t="s">
        <v>301</v>
      </c>
      <c r="G39" s="12" t="s">
        <v>302</v>
      </c>
      <c r="H39" s="12"/>
      <c r="I39" s="14" t="b">
        <f aca="false">IF(Lookup!$B$3="",FALSE(),ISNUMBER(SEARCH(Lookup!$B$3,A39&amp;" "&amp;B39&amp;" "&amp;D39&amp;" "&amp;E39&amp;" "&amp;F39)))</f>
        <v>0</v>
      </c>
      <c r="J39" s="0" t="str">
        <f aca="false">IF(I39,COUNTIF($I$2:I39,TRUE()),"")</f>
        <v/>
      </c>
    </row>
    <row r="40" customFormat="false" ht="15" hidden="false" customHeight="false" outlineLevel="0" collapsed="false">
      <c r="A40" s="11" t="s">
        <v>303</v>
      </c>
      <c r="B40" s="12" t="s">
        <v>304</v>
      </c>
      <c r="C40" s="12" t="s">
        <v>305</v>
      </c>
      <c r="D40" s="12" t="s">
        <v>306</v>
      </c>
      <c r="E40" s="12" t="s">
        <v>307</v>
      </c>
      <c r="F40" s="12" t="s">
        <v>308</v>
      </c>
      <c r="G40" s="12" t="s">
        <v>309</v>
      </c>
      <c r="H40" s="12"/>
      <c r="I40" s="14" t="b">
        <f aca="false">IF(Lookup!$B$3="",FALSE(),ISNUMBER(SEARCH(Lookup!$B$3,A40&amp;" "&amp;B40&amp;" "&amp;D40&amp;" "&amp;E40&amp;" "&amp;F40)))</f>
        <v>0</v>
      </c>
      <c r="J40" s="0" t="str">
        <f aca="false">IF(I40,COUNTIF($I$2:I40,TRUE()),"")</f>
        <v/>
      </c>
    </row>
    <row r="41" customFormat="false" ht="15" hidden="false" customHeight="false" outlineLevel="0" collapsed="false">
      <c r="A41" s="11" t="s">
        <v>310</v>
      </c>
      <c r="B41" s="12" t="s">
        <v>311</v>
      </c>
      <c r="C41" s="12" t="s">
        <v>116</v>
      </c>
      <c r="D41" s="12" t="s">
        <v>312</v>
      </c>
      <c r="E41" s="12" t="s">
        <v>313</v>
      </c>
      <c r="F41" s="12" t="s">
        <v>314</v>
      </c>
      <c r="G41" s="12" t="s">
        <v>315</v>
      </c>
      <c r="H41" s="12"/>
      <c r="I41" s="14" t="b">
        <f aca="false">IF(Lookup!$B$3="",FALSE(),ISNUMBER(SEARCH(Lookup!$B$3,A41&amp;" "&amp;B41&amp;" "&amp;D41&amp;" "&amp;E41&amp;" "&amp;F41)))</f>
        <v>0</v>
      </c>
      <c r="J41" s="0" t="str">
        <f aca="false">IF(I41,COUNTIF($I$2:I41,TRUE()),"")</f>
        <v/>
      </c>
    </row>
    <row r="42" customFormat="false" ht="28.35" hidden="false" customHeight="false" outlineLevel="0" collapsed="false">
      <c r="A42" s="11" t="s">
        <v>316</v>
      </c>
      <c r="B42" s="12" t="s">
        <v>317</v>
      </c>
      <c r="C42" s="12" t="s">
        <v>318</v>
      </c>
      <c r="D42" s="12" t="s">
        <v>319</v>
      </c>
      <c r="E42" s="12" t="s">
        <v>320</v>
      </c>
      <c r="F42" s="12" t="s">
        <v>321</v>
      </c>
      <c r="G42" s="12" t="s">
        <v>322</v>
      </c>
      <c r="H42" s="12"/>
      <c r="I42" s="14" t="b">
        <f aca="false">IF(Lookup!$B$3="",FALSE(),ISNUMBER(SEARCH(Lookup!$B$3,A42&amp;" "&amp;B42&amp;" "&amp;D42&amp;" "&amp;E42&amp;" "&amp;F42)))</f>
        <v>0</v>
      </c>
      <c r="J42" s="0" t="str">
        <f aca="false">IF(I42,COUNTIF($I$2:I42,TRUE()),"")</f>
        <v/>
      </c>
    </row>
    <row r="43" customFormat="false" ht="15" hidden="false" customHeight="false" outlineLevel="0" collapsed="false">
      <c r="A43" s="11" t="s">
        <v>323</v>
      </c>
      <c r="B43" s="12" t="s">
        <v>324</v>
      </c>
      <c r="C43" s="12" t="s">
        <v>325</v>
      </c>
      <c r="D43" s="12" t="s">
        <v>326</v>
      </c>
      <c r="E43" s="12" t="s">
        <v>327</v>
      </c>
      <c r="F43" s="12" t="s">
        <v>328</v>
      </c>
      <c r="G43" s="12" t="s">
        <v>329</v>
      </c>
      <c r="H43" s="12"/>
      <c r="I43" s="14" t="b">
        <f aca="false">IF(Lookup!$B$3="",FALSE(),ISNUMBER(SEARCH(Lookup!$B$3,A43&amp;" "&amp;B43&amp;" "&amp;D43&amp;" "&amp;E43&amp;" "&amp;F43)))</f>
        <v>0</v>
      </c>
      <c r="J43" s="0" t="str">
        <f aca="false">IF(I43,COUNTIF($I$2:I43,TRUE()),"")</f>
        <v/>
      </c>
    </row>
    <row r="44" customFormat="false" ht="15" hidden="false" customHeight="false" outlineLevel="0" collapsed="false">
      <c r="A44" s="11" t="s">
        <v>330</v>
      </c>
      <c r="B44" s="12" t="s">
        <v>331</v>
      </c>
      <c r="C44" s="12" t="s">
        <v>332</v>
      </c>
      <c r="D44" s="12" t="s">
        <v>333</v>
      </c>
      <c r="E44" s="12" t="s">
        <v>334</v>
      </c>
      <c r="F44" s="12" t="s">
        <v>335</v>
      </c>
      <c r="G44" s="12" t="s">
        <v>336</v>
      </c>
      <c r="H44" s="12"/>
      <c r="I44" s="14" t="b">
        <f aca="false">IF(Lookup!$B$3="",FALSE(),ISNUMBER(SEARCH(Lookup!$B$3,A44&amp;" "&amp;B44&amp;" "&amp;D44&amp;" "&amp;E44&amp;" "&amp;F44)))</f>
        <v>0</v>
      </c>
      <c r="J44" s="0" t="str">
        <f aca="false">IF(I44,COUNTIF($I$2:I44,TRUE()),"")</f>
        <v/>
      </c>
    </row>
    <row r="45" customFormat="false" ht="15" hidden="false" customHeight="false" outlineLevel="0" collapsed="false">
      <c r="A45" s="11" t="s">
        <v>337</v>
      </c>
      <c r="B45" s="12" t="s">
        <v>324</v>
      </c>
      <c r="C45" s="12" t="s">
        <v>338</v>
      </c>
      <c r="D45" s="12" t="s">
        <v>339</v>
      </c>
      <c r="E45" s="12" t="s">
        <v>340</v>
      </c>
      <c r="F45" s="12" t="s">
        <v>341</v>
      </c>
      <c r="G45" s="12" t="s">
        <v>342</v>
      </c>
      <c r="H45" s="12"/>
      <c r="I45" s="14" t="b">
        <f aca="false">IF(Lookup!$B$3="",FALSE(),ISNUMBER(SEARCH(Lookup!$B$3,A45&amp;" "&amp;B45&amp;" "&amp;D45&amp;" "&amp;E45&amp;" "&amp;F45)))</f>
        <v>0</v>
      </c>
      <c r="J45" s="0" t="str">
        <f aca="false">IF(I45,COUNTIF($I$2:I45,TRUE()),"")</f>
        <v/>
      </c>
    </row>
    <row r="46" customFormat="false" ht="28.35" hidden="false" customHeight="false" outlineLevel="0" collapsed="false">
      <c r="A46" s="11" t="s">
        <v>343</v>
      </c>
      <c r="B46" s="12" t="s">
        <v>344</v>
      </c>
      <c r="C46" s="12" t="s">
        <v>318</v>
      </c>
      <c r="D46" s="12" t="s">
        <v>345</v>
      </c>
      <c r="E46" s="12" t="s">
        <v>346</v>
      </c>
      <c r="F46" s="12" t="s">
        <v>347</v>
      </c>
      <c r="G46" s="12" t="s">
        <v>348</v>
      </c>
      <c r="H46" s="12"/>
      <c r="I46" s="14" t="b">
        <f aca="false">IF(Lookup!$B$3="",FALSE(),ISNUMBER(SEARCH(Lookup!$B$3,A46&amp;" "&amp;B46&amp;" "&amp;D46&amp;" "&amp;E46&amp;" "&amp;F46)))</f>
        <v>0</v>
      </c>
      <c r="J46" s="0" t="str">
        <f aca="false">IF(I46,COUNTIF($I$2:I46,TRUE()),"")</f>
        <v/>
      </c>
    </row>
    <row r="47" customFormat="false" ht="15" hidden="false" customHeight="false" outlineLevel="0" collapsed="false">
      <c r="A47" s="11" t="s">
        <v>333</v>
      </c>
      <c r="B47" s="12" t="s">
        <v>331</v>
      </c>
      <c r="C47" s="12" t="s">
        <v>349</v>
      </c>
      <c r="D47" s="12" t="s">
        <v>350</v>
      </c>
      <c r="E47" s="12" t="s">
        <v>351</v>
      </c>
      <c r="F47" s="12" t="s">
        <v>352</v>
      </c>
      <c r="G47" s="12" t="s">
        <v>353</v>
      </c>
      <c r="H47" s="12" t="s">
        <v>354</v>
      </c>
      <c r="I47" s="14" t="b">
        <f aca="false">IF(Lookup!$B$3="",FALSE(),ISNUMBER(SEARCH(Lookup!$B$3,A47&amp;" "&amp;B47&amp;" "&amp;D47&amp;" "&amp;E47&amp;" "&amp;F47)))</f>
        <v>0</v>
      </c>
      <c r="J47" s="0" t="str">
        <f aca="false">IF(I47,COUNTIF($I$2:I47,TRUE()),"")</f>
        <v/>
      </c>
    </row>
    <row r="48" customFormat="false" ht="15" hidden="false" customHeight="false" outlineLevel="0" collapsed="false">
      <c r="A48" s="11" t="s">
        <v>355</v>
      </c>
      <c r="B48" s="12" t="s">
        <v>356</v>
      </c>
      <c r="C48" s="12" t="s">
        <v>357</v>
      </c>
      <c r="D48" s="12" t="s">
        <v>358</v>
      </c>
      <c r="E48" s="12" t="s">
        <v>359</v>
      </c>
      <c r="F48" s="12" t="s">
        <v>360</v>
      </c>
      <c r="G48" s="12" t="s">
        <v>361</v>
      </c>
      <c r="H48" s="12"/>
      <c r="I48" s="14" t="b">
        <f aca="false">IF(Lookup!$B$3="",FALSE(),ISNUMBER(SEARCH(Lookup!$B$3,A48&amp;" "&amp;B48&amp;" "&amp;D48&amp;" "&amp;E48&amp;" "&amp;F48)))</f>
        <v>0</v>
      </c>
      <c r="J48" s="0" t="str">
        <f aca="false">IF(I48,COUNTIF($I$2:I48,TRUE()),"")</f>
        <v/>
      </c>
    </row>
    <row r="49" customFormat="false" ht="28.35" hidden="false" customHeight="false" outlineLevel="0" collapsed="false">
      <c r="A49" s="11" t="s">
        <v>362</v>
      </c>
      <c r="B49" s="12" t="s">
        <v>363</v>
      </c>
      <c r="C49" s="12" t="s">
        <v>364</v>
      </c>
      <c r="D49" s="12" t="s">
        <v>365</v>
      </c>
      <c r="E49" s="12" t="s">
        <v>366</v>
      </c>
      <c r="F49" s="12" t="s">
        <v>367</v>
      </c>
      <c r="G49" s="12" t="s">
        <v>368</v>
      </c>
      <c r="H49" s="12"/>
      <c r="I49" s="14" t="b">
        <f aca="false">IF(Lookup!$B$3="",FALSE(),ISNUMBER(SEARCH(Lookup!$B$3,A49&amp;" "&amp;B49&amp;" "&amp;D49&amp;" "&amp;E49&amp;" "&amp;F49)))</f>
        <v>0</v>
      </c>
      <c r="J49" s="0" t="str">
        <f aca="false">IF(I49,COUNTIF($I$2:I49,TRUE()),"")</f>
        <v/>
      </c>
    </row>
    <row r="50" customFormat="false" ht="28.35" hidden="false" customHeight="false" outlineLevel="0" collapsed="false">
      <c r="A50" s="11" t="s">
        <v>369</v>
      </c>
      <c r="B50" s="12" t="s">
        <v>370</v>
      </c>
      <c r="C50" s="12" t="s">
        <v>371</v>
      </c>
      <c r="D50" s="12" t="s">
        <v>372</v>
      </c>
      <c r="E50" s="12" t="s">
        <v>373</v>
      </c>
      <c r="F50" s="12" t="s">
        <v>374</v>
      </c>
      <c r="G50" s="12" t="s">
        <v>375</v>
      </c>
      <c r="H50" s="12" t="s">
        <v>376</v>
      </c>
      <c r="I50" s="14" t="b">
        <f aca="false">IF(Lookup!$B$3="",FALSE(),ISNUMBER(SEARCH(Lookup!$B$3,A50&amp;" "&amp;B50&amp;" "&amp;D50&amp;" "&amp;E50&amp;" "&amp;F50)))</f>
        <v>0</v>
      </c>
      <c r="J50" s="0" t="str">
        <f aca="false">IF(I50,COUNTIF($I$2:I50,TRUE()),"")</f>
        <v/>
      </c>
    </row>
    <row r="51" customFormat="false" ht="15" hidden="false" customHeight="false" outlineLevel="0" collapsed="false">
      <c r="A51" s="11" t="s">
        <v>377</v>
      </c>
      <c r="B51" s="12" t="s">
        <v>378</v>
      </c>
      <c r="C51" s="12" t="s">
        <v>379</v>
      </c>
      <c r="D51" s="12" t="s">
        <v>380</v>
      </c>
      <c r="E51" s="12" t="s">
        <v>381</v>
      </c>
      <c r="F51" s="12" t="s">
        <v>382</v>
      </c>
      <c r="G51" s="12" t="s">
        <v>383</v>
      </c>
      <c r="H51" s="12"/>
      <c r="I51" s="14" t="b">
        <f aca="false">IF(Lookup!$B$3="",FALSE(),ISNUMBER(SEARCH(Lookup!$B$3,A51&amp;" "&amp;B51&amp;" "&amp;D51&amp;" "&amp;E51&amp;" "&amp;F51)))</f>
        <v>0</v>
      </c>
      <c r="J51" s="0" t="str">
        <f aca="false">IF(I51,COUNTIF($I$2:I51,TRUE()),"")</f>
        <v/>
      </c>
    </row>
    <row r="52" customFormat="false" ht="28.35" hidden="false" customHeight="false" outlineLevel="0" collapsed="false">
      <c r="A52" s="11" t="s">
        <v>384</v>
      </c>
      <c r="B52" s="12" t="s">
        <v>385</v>
      </c>
      <c r="C52" s="12" t="s">
        <v>386</v>
      </c>
      <c r="D52" s="12" t="s">
        <v>387</v>
      </c>
      <c r="E52" s="12" t="s">
        <v>388</v>
      </c>
      <c r="F52" s="12" t="s">
        <v>389</v>
      </c>
      <c r="G52" s="12" t="s">
        <v>390</v>
      </c>
      <c r="H52" s="12" t="s">
        <v>391</v>
      </c>
      <c r="I52" s="14" t="b">
        <f aca="false">IF(Lookup!$B$3="",FALSE(),ISNUMBER(SEARCH(Lookup!$B$3,A52&amp;" "&amp;B52&amp;" "&amp;D52&amp;" "&amp;E52&amp;" "&amp;F52)))</f>
        <v>0</v>
      </c>
      <c r="J52" s="0" t="str">
        <f aca="false">IF(I52,COUNTIF($I$2:I52,TRUE()),"")</f>
        <v/>
      </c>
    </row>
    <row r="53" customFormat="false" ht="15" hidden="false" customHeight="false" outlineLevel="0" collapsed="false">
      <c r="A53" s="11" t="s">
        <v>392</v>
      </c>
      <c r="B53" s="12" t="s">
        <v>283</v>
      </c>
      <c r="C53" s="12" t="s">
        <v>393</v>
      </c>
      <c r="D53" s="12" t="s">
        <v>394</v>
      </c>
      <c r="E53" s="12" t="s">
        <v>395</v>
      </c>
      <c r="F53" s="12" t="s">
        <v>396</v>
      </c>
      <c r="G53" s="12" t="s">
        <v>397</v>
      </c>
      <c r="H53" s="12" t="s">
        <v>31</v>
      </c>
      <c r="I53" s="14" t="b">
        <f aca="false">IF(Lookup!$B$3="",FALSE(),ISNUMBER(SEARCH(Lookup!$B$3,A53&amp;" "&amp;B53&amp;" "&amp;D53&amp;" "&amp;E53&amp;" "&amp;F53)))</f>
        <v>0</v>
      </c>
      <c r="J53" s="0" t="str">
        <f aca="false">IF(I53,COUNTIF($I$2:I53,TRUE()),"")</f>
        <v/>
      </c>
    </row>
    <row r="54" customFormat="false" ht="15" hidden="false" customHeight="false" outlineLevel="0" collapsed="false">
      <c r="A54" s="11" t="s">
        <v>398</v>
      </c>
      <c r="B54" s="12" t="s">
        <v>205</v>
      </c>
      <c r="C54" s="12" t="s">
        <v>399</v>
      </c>
      <c r="D54" s="12" t="s">
        <v>400</v>
      </c>
      <c r="E54" s="12" t="s">
        <v>401</v>
      </c>
      <c r="F54" s="12" t="s">
        <v>402</v>
      </c>
      <c r="G54" s="12" t="s">
        <v>403</v>
      </c>
      <c r="H54" s="12"/>
      <c r="I54" s="14" t="b">
        <f aca="false">IF(Lookup!$B$3="",FALSE(),ISNUMBER(SEARCH(Lookup!$B$3,A54&amp;" "&amp;B54&amp;" "&amp;D54&amp;" "&amp;E54&amp;" "&amp;F54)))</f>
        <v>0</v>
      </c>
      <c r="J54" s="0" t="str">
        <f aca="false">IF(I54,COUNTIF($I$2:I54,TRUE()),"")</f>
        <v/>
      </c>
    </row>
    <row r="55" customFormat="false" ht="28.35" hidden="false" customHeight="false" outlineLevel="0" collapsed="false">
      <c r="A55" s="11" t="s">
        <v>404</v>
      </c>
      <c r="B55" s="12" t="s">
        <v>405</v>
      </c>
      <c r="C55" s="12" t="s">
        <v>406</v>
      </c>
      <c r="D55" s="12" t="s">
        <v>407</v>
      </c>
      <c r="E55" s="12" t="s">
        <v>408</v>
      </c>
      <c r="F55" s="12" t="s">
        <v>409</v>
      </c>
      <c r="G55" s="12" t="s">
        <v>410</v>
      </c>
      <c r="H55" s="12"/>
      <c r="I55" s="14" t="b">
        <f aca="false">IF(Lookup!$B$3="",FALSE(),ISNUMBER(SEARCH(Lookup!$B$3,A55&amp;" "&amp;B55&amp;" "&amp;D55&amp;" "&amp;E55&amp;" "&amp;F55)))</f>
        <v>0</v>
      </c>
      <c r="J55" s="0" t="str">
        <f aca="false">IF(I55,COUNTIF($I$2:I55,TRUE()),"")</f>
        <v/>
      </c>
    </row>
    <row r="56" customFormat="false" ht="15" hidden="false" customHeight="false" outlineLevel="0" collapsed="false">
      <c r="A56" s="11" t="s">
        <v>411</v>
      </c>
      <c r="B56" s="12" t="s">
        <v>412</v>
      </c>
      <c r="C56" s="12" t="s">
        <v>413</v>
      </c>
      <c r="D56" s="12" t="s">
        <v>414</v>
      </c>
      <c r="E56" s="12" t="s">
        <v>415</v>
      </c>
      <c r="F56" s="12" t="s">
        <v>416</v>
      </c>
      <c r="G56" s="12" t="s">
        <v>417</v>
      </c>
      <c r="H56" s="12"/>
      <c r="I56" s="14" t="b">
        <f aca="false">IF(Lookup!$B$3="",FALSE(),ISNUMBER(SEARCH(Lookup!$B$3,A56&amp;" "&amp;B56&amp;" "&amp;D56&amp;" "&amp;E56&amp;" "&amp;F56)))</f>
        <v>0</v>
      </c>
      <c r="J56" s="0" t="str">
        <f aca="false">IF(I56,COUNTIF($I$2:I56,TRUE()),"")</f>
        <v/>
      </c>
    </row>
    <row r="57" customFormat="false" ht="28.35" hidden="false" customHeight="false" outlineLevel="0" collapsed="false">
      <c r="A57" s="11" t="s">
        <v>418</v>
      </c>
      <c r="B57" s="12" t="s">
        <v>419</v>
      </c>
      <c r="C57" s="12" t="s">
        <v>420</v>
      </c>
      <c r="D57" s="12" t="s">
        <v>421</v>
      </c>
      <c r="E57" s="12" t="s">
        <v>422</v>
      </c>
      <c r="F57" s="12" t="s">
        <v>423</v>
      </c>
      <c r="G57" s="12" t="s">
        <v>424</v>
      </c>
      <c r="H57" s="12"/>
      <c r="I57" s="14" t="b">
        <f aca="false">IF(Lookup!$B$3="",FALSE(),ISNUMBER(SEARCH(Lookup!$B$3,A57&amp;" "&amp;B57&amp;" "&amp;D57&amp;" "&amp;E57&amp;" "&amp;F57)))</f>
        <v>0</v>
      </c>
      <c r="J57" s="0" t="str">
        <f aca="false">IF(I57,COUNTIF($I$2:I57,TRUE()),"")</f>
        <v/>
      </c>
    </row>
    <row r="58" customFormat="false" ht="15" hidden="false" customHeight="false" outlineLevel="0" collapsed="false">
      <c r="A58" s="11" t="s">
        <v>425</v>
      </c>
      <c r="B58" s="12" t="s">
        <v>426</v>
      </c>
      <c r="C58" s="12" t="s">
        <v>427</v>
      </c>
      <c r="D58" s="12" t="s">
        <v>428</v>
      </c>
      <c r="E58" s="12" t="s">
        <v>429</v>
      </c>
      <c r="F58" s="12" t="s">
        <v>430</v>
      </c>
      <c r="G58" s="12" t="s">
        <v>431</v>
      </c>
      <c r="H58" s="12"/>
      <c r="I58" s="14" t="b">
        <f aca="false">IF(Lookup!$B$3="",FALSE(),ISNUMBER(SEARCH(Lookup!$B$3,A58&amp;" "&amp;B58&amp;" "&amp;D58&amp;" "&amp;E58&amp;" "&amp;F58)))</f>
        <v>0</v>
      </c>
      <c r="J58" s="0" t="str">
        <f aca="false">IF(I58,COUNTIF($I$2:I58,TRUE()),"")</f>
        <v/>
      </c>
    </row>
    <row r="59" customFormat="false" ht="15" hidden="false" customHeight="false" outlineLevel="0" collapsed="false">
      <c r="A59" s="11" t="s">
        <v>432</v>
      </c>
      <c r="B59" s="12" t="s">
        <v>433</v>
      </c>
      <c r="C59" s="12" t="s">
        <v>434</v>
      </c>
      <c r="D59" s="12" t="s">
        <v>435</v>
      </c>
      <c r="E59" s="12" t="s">
        <v>436</v>
      </c>
      <c r="F59" s="12" t="s">
        <v>436</v>
      </c>
      <c r="G59" s="12" t="s">
        <v>437</v>
      </c>
      <c r="H59" s="12"/>
      <c r="I59" s="14" t="b">
        <f aca="false">IF(Lookup!$B$3="",FALSE(),ISNUMBER(SEARCH(Lookup!$B$3,A59&amp;" "&amp;B59&amp;" "&amp;D59&amp;" "&amp;E59&amp;" "&amp;F59)))</f>
        <v>0</v>
      </c>
      <c r="J59" s="0" t="str">
        <f aca="false">IF(I59,COUNTIF($I$2:I59,TRUE()),"")</f>
        <v/>
      </c>
    </row>
    <row r="60" customFormat="false" ht="15" hidden="false" customHeight="false" outlineLevel="0" collapsed="false">
      <c r="A60" s="11" t="s">
        <v>438</v>
      </c>
      <c r="B60" s="12" t="s">
        <v>433</v>
      </c>
      <c r="C60" s="12" t="s">
        <v>439</v>
      </c>
      <c r="D60" s="12" t="s">
        <v>440</v>
      </c>
      <c r="E60" s="12" t="s">
        <v>441</v>
      </c>
      <c r="F60" s="12" t="s">
        <v>442</v>
      </c>
      <c r="G60" s="12" t="s">
        <v>443</v>
      </c>
      <c r="H60" s="12" t="s">
        <v>444</v>
      </c>
      <c r="I60" s="14" t="b">
        <f aca="false">IF(Lookup!$B$3="",FALSE(),ISNUMBER(SEARCH(Lookup!$B$3,A60&amp;" "&amp;B60&amp;" "&amp;D60&amp;" "&amp;E60&amp;" "&amp;F60)))</f>
        <v>0</v>
      </c>
      <c r="J60" s="0" t="str">
        <f aca="false">IF(I60,COUNTIF($I$2:I60,TRUE()),"")</f>
        <v/>
      </c>
    </row>
    <row r="61" customFormat="false" ht="15" hidden="false" customHeight="false" outlineLevel="0" collapsed="false">
      <c r="A61" s="11" t="s">
        <v>445</v>
      </c>
      <c r="B61" s="12" t="s">
        <v>446</v>
      </c>
      <c r="C61" s="12" t="s">
        <v>447</v>
      </c>
      <c r="D61" s="12" t="s">
        <v>448</v>
      </c>
      <c r="E61" s="12" t="s">
        <v>449</v>
      </c>
      <c r="F61" s="12" t="s">
        <v>449</v>
      </c>
      <c r="G61" s="12" t="s">
        <v>450</v>
      </c>
      <c r="H61" s="12" t="s">
        <v>451</v>
      </c>
      <c r="I61" s="14" t="b">
        <f aca="false">IF(Lookup!$B$3="",FALSE(),ISNUMBER(SEARCH(Lookup!$B$3,A61&amp;" "&amp;B61&amp;" "&amp;D61&amp;" "&amp;E61&amp;" "&amp;F61)))</f>
        <v>0</v>
      </c>
      <c r="J61" s="0" t="str">
        <f aca="false">IF(I61,COUNTIF($I$2:I61,TRUE()),"")</f>
        <v/>
      </c>
    </row>
    <row r="62" customFormat="false" ht="15" hidden="false" customHeight="false" outlineLevel="0" collapsed="false">
      <c r="A62" s="11" t="s">
        <v>452</v>
      </c>
      <c r="B62" s="12" t="s">
        <v>446</v>
      </c>
      <c r="C62" s="12" t="s">
        <v>453</v>
      </c>
      <c r="D62" s="12" t="s">
        <v>454</v>
      </c>
      <c r="E62" s="12" t="s">
        <v>455</v>
      </c>
      <c r="F62" s="12" t="s">
        <v>455</v>
      </c>
      <c r="G62" s="12" t="s">
        <v>456</v>
      </c>
      <c r="H62" s="12"/>
      <c r="I62" s="14" t="b">
        <f aca="false">IF(Lookup!$B$3="",FALSE(),ISNUMBER(SEARCH(Lookup!$B$3,A62&amp;" "&amp;B62&amp;" "&amp;D62&amp;" "&amp;E62&amp;" "&amp;F62)))</f>
        <v>0</v>
      </c>
      <c r="J62" s="0" t="str">
        <f aca="false">IF(I62,COUNTIF($I$2:I62,TRUE()),"")</f>
        <v/>
      </c>
    </row>
    <row r="63" customFormat="false" ht="28.35" hidden="false" customHeight="false" outlineLevel="0" collapsed="false">
      <c r="A63" s="11" t="s">
        <v>457</v>
      </c>
      <c r="B63" s="12" t="s">
        <v>458</v>
      </c>
      <c r="C63" s="12" t="s">
        <v>459</v>
      </c>
      <c r="D63" s="12" t="s">
        <v>460</v>
      </c>
      <c r="E63" s="12" t="s">
        <v>461</v>
      </c>
      <c r="F63" s="12" t="s">
        <v>462</v>
      </c>
      <c r="G63" s="12" t="s">
        <v>463</v>
      </c>
      <c r="H63" s="12" t="s">
        <v>464</v>
      </c>
      <c r="I63" s="14" t="b">
        <f aca="false">IF(Lookup!$B$3="",FALSE(),ISNUMBER(SEARCH(Lookup!$B$3,A63&amp;" "&amp;B63&amp;" "&amp;D63&amp;" "&amp;E63&amp;" "&amp;F63)))</f>
        <v>0</v>
      </c>
      <c r="J63" s="0" t="str">
        <f aca="false">IF(I63,COUNTIF($I$2:I63,TRUE()),"")</f>
        <v/>
      </c>
    </row>
    <row r="64" customFormat="false" ht="15" hidden="false" customHeight="false" outlineLevel="0" collapsed="false">
      <c r="A64" s="11" t="s">
        <v>465</v>
      </c>
      <c r="B64" s="12" t="s">
        <v>466</v>
      </c>
      <c r="C64" s="12" t="s">
        <v>467</v>
      </c>
      <c r="D64" s="12" t="s">
        <v>468</v>
      </c>
      <c r="E64" s="12" t="s">
        <v>469</v>
      </c>
      <c r="F64" s="12" t="s">
        <v>470</v>
      </c>
      <c r="G64" s="12" t="s">
        <v>471</v>
      </c>
      <c r="H64" s="12" t="s">
        <v>472</v>
      </c>
      <c r="I64" s="14" t="b">
        <f aca="false">IF(Lookup!$B$3="",FALSE(),ISNUMBER(SEARCH(Lookup!$B$3,A64&amp;" "&amp;B64&amp;" "&amp;D64&amp;" "&amp;E64&amp;" "&amp;F64)))</f>
        <v>0</v>
      </c>
      <c r="J64" s="0" t="str">
        <f aca="false">IF(I64,COUNTIF($I$2:I64,TRUE()),"")</f>
        <v/>
      </c>
    </row>
    <row r="65" customFormat="false" ht="15" hidden="false" customHeight="false" outlineLevel="0" collapsed="false">
      <c r="A65" s="11" t="s">
        <v>473</v>
      </c>
      <c r="B65" s="12" t="s">
        <v>474</v>
      </c>
      <c r="C65" s="12" t="s">
        <v>475</v>
      </c>
      <c r="D65" s="12" t="s">
        <v>476</v>
      </c>
      <c r="E65" s="12" t="s">
        <v>477</v>
      </c>
      <c r="F65" s="12" t="s">
        <v>478</v>
      </c>
      <c r="G65" s="12" t="s">
        <v>479</v>
      </c>
      <c r="H65" s="12"/>
      <c r="I65" s="14" t="b">
        <f aca="false">IF(Lookup!$B$3="",FALSE(),ISNUMBER(SEARCH(Lookup!$B$3,A65&amp;" "&amp;B65&amp;" "&amp;D65&amp;" "&amp;E65&amp;" "&amp;F65)))</f>
        <v>0</v>
      </c>
      <c r="J65" s="0" t="str">
        <f aca="false">IF(I65,COUNTIF($I$2:I65,TRUE()),"")</f>
        <v/>
      </c>
    </row>
    <row r="66" customFormat="false" ht="15" hidden="false" customHeight="false" outlineLevel="0" collapsed="false">
      <c r="A66" s="11" t="s">
        <v>480</v>
      </c>
      <c r="B66" s="12" t="s">
        <v>481</v>
      </c>
      <c r="C66" s="12" t="s">
        <v>482</v>
      </c>
      <c r="D66" s="12" t="s">
        <v>483</v>
      </c>
      <c r="E66" s="12" t="s">
        <v>484</v>
      </c>
      <c r="F66" s="12" t="s">
        <v>485</v>
      </c>
      <c r="G66" s="12" t="s">
        <v>486</v>
      </c>
      <c r="H66" s="12" t="s">
        <v>487</v>
      </c>
      <c r="I66" s="14" t="b">
        <f aca="false">IF(Lookup!$B$3="",FALSE(),ISNUMBER(SEARCH(Lookup!$B$3,A66&amp;" "&amp;B66&amp;" "&amp;D66&amp;" "&amp;E66&amp;" "&amp;F66)))</f>
        <v>0</v>
      </c>
      <c r="J66" s="0" t="str">
        <f aca="false">IF(I66,COUNTIF($I$2:I66,TRUE()),"")</f>
        <v/>
      </c>
    </row>
    <row r="67" customFormat="false" ht="28.35" hidden="false" customHeight="false" outlineLevel="0" collapsed="false">
      <c r="A67" s="11" t="s">
        <v>488</v>
      </c>
      <c r="B67" s="12" t="s">
        <v>489</v>
      </c>
      <c r="C67" s="12" t="s">
        <v>490</v>
      </c>
      <c r="D67" s="12" t="s">
        <v>491</v>
      </c>
      <c r="E67" s="12" t="s">
        <v>492</v>
      </c>
      <c r="F67" s="12" t="s">
        <v>493</v>
      </c>
      <c r="G67" s="12" t="s">
        <v>494</v>
      </c>
      <c r="H67" s="12" t="s">
        <v>495</v>
      </c>
      <c r="I67" s="14" t="b">
        <f aca="false">IF(Lookup!$B$3="",FALSE(),ISNUMBER(SEARCH(Lookup!$B$3,A67&amp;" "&amp;B67&amp;" "&amp;D67&amp;" "&amp;E67&amp;" "&amp;F67)))</f>
        <v>0</v>
      </c>
      <c r="J67" s="0" t="str">
        <f aca="false">IF(I67,COUNTIF($I$2:I67,TRUE()),"")</f>
        <v/>
      </c>
    </row>
    <row r="68" customFormat="false" ht="15" hidden="false" customHeight="false" outlineLevel="0" collapsed="false">
      <c r="A68" s="11" t="s">
        <v>496</v>
      </c>
      <c r="B68" s="12" t="s">
        <v>497</v>
      </c>
      <c r="C68" s="12" t="s">
        <v>498</v>
      </c>
      <c r="D68" s="12" t="s">
        <v>499</v>
      </c>
      <c r="E68" s="12" t="s">
        <v>500</v>
      </c>
      <c r="F68" s="12" t="s">
        <v>500</v>
      </c>
      <c r="G68" s="12" t="s">
        <v>501</v>
      </c>
      <c r="H68" s="12"/>
      <c r="I68" s="14" t="b">
        <f aca="false">IF(Lookup!$B$3="",FALSE(),ISNUMBER(SEARCH(Lookup!$B$3,A68&amp;" "&amp;B68&amp;" "&amp;D68&amp;" "&amp;E68&amp;" "&amp;F68)))</f>
        <v>0</v>
      </c>
      <c r="J68" s="0" t="str">
        <f aca="false">IF(I68,COUNTIF($I$2:I68,TRUE()),"")</f>
        <v/>
      </c>
    </row>
    <row r="69" customFormat="false" ht="15" hidden="false" customHeight="false" outlineLevel="0" collapsed="false">
      <c r="A69" s="11" t="s">
        <v>502</v>
      </c>
      <c r="B69" s="12" t="s">
        <v>503</v>
      </c>
      <c r="C69" s="12" t="s">
        <v>504</v>
      </c>
      <c r="D69" s="12" t="s">
        <v>505</v>
      </c>
      <c r="E69" s="12" t="s">
        <v>506</v>
      </c>
      <c r="F69" s="12" t="s">
        <v>507</v>
      </c>
      <c r="G69" s="12" t="s">
        <v>508</v>
      </c>
      <c r="H69" s="12" t="s">
        <v>84</v>
      </c>
      <c r="I69" s="14" t="b">
        <f aca="false">IF(Lookup!$B$3="",FALSE(),ISNUMBER(SEARCH(Lookup!$B$3,A69&amp;" "&amp;B69&amp;" "&amp;D69&amp;" "&amp;E69&amp;" "&amp;F69)))</f>
        <v>0</v>
      </c>
      <c r="J69" s="0" t="str">
        <f aca="false">IF(I69,COUNTIF($I$2:I69,TRUE()),"")</f>
        <v/>
      </c>
    </row>
    <row r="70" customFormat="false" ht="28.35" hidden="false" customHeight="false" outlineLevel="0" collapsed="false">
      <c r="A70" s="11" t="s">
        <v>509</v>
      </c>
      <c r="B70" s="12" t="s">
        <v>510</v>
      </c>
      <c r="C70" s="12" t="s">
        <v>511</v>
      </c>
      <c r="D70" s="12" t="s">
        <v>512</v>
      </c>
      <c r="E70" s="12" t="s">
        <v>513</v>
      </c>
      <c r="F70" s="12" t="s">
        <v>514</v>
      </c>
      <c r="G70" s="12" t="s">
        <v>515</v>
      </c>
      <c r="H70" s="12" t="s">
        <v>516</v>
      </c>
      <c r="I70" s="14" t="b">
        <f aca="false">IF(Lookup!$B$3="",FALSE(),ISNUMBER(SEARCH(Lookup!$B$3,A70&amp;" "&amp;B70&amp;" "&amp;D70&amp;" "&amp;E70&amp;" "&amp;F70)))</f>
        <v>0</v>
      </c>
      <c r="J70" s="0" t="str">
        <f aca="false">IF(I70,COUNTIF($I$2:I70,TRUE()),"")</f>
        <v/>
      </c>
    </row>
    <row r="71" customFormat="false" ht="41.75" hidden="false" customHeight="false" outlineLevel="0" collapsed="false">
      <c r="A71" s="11" t="s">
        <v>517</v>
      </c>
      <c r="B71" s="12" t="s">
        <v>518</v>
      </c>
      <c r="C71" s="12" t="s">
        <v>519</v>
      </c>
      <c r="D71" s="12" t="s">
        <v>520</v>
      </c>
      <c r="E71" s="12" t="s">
        <v>521</v>
      </c>
      <c r="F71" s="12" t="s">
        <v>522</v>
      </c>
      <c r="G71" s="12" t="s">
        <v>523</v>
      </c>
      <c r="H71" s="12" t="s">
        <v>524</v>
      </c>
      <c r="I71" s="14" t="b">
        <f aca="false">IF(Lookup!$B$3="",FALSE(),ISNUMBER(SEARCH(Lookup!$B$3,A71&amp;" "&amp;B71&amp;" "&amp;D71&amp;" "&amp;E71&amp;" "&amp;F71)))</f>
        <v>0</v>
      </c>
      <c r="J71" s="0" t="str">
        <f aca="false">IF(I71,COUNTIF($I$2:I71,TRUE()),"")</f>
        <v/>
      </c>
    </row>
    <row r="72" customFormat="false" ht="15" hidden="false" customHeight="false" outlineLevel="0" collapsed="false">
      <c r="A72" s="11" t="s">
        <v>525</v>
      </c>
      <c r="B72" s="12" t="s">
        <v>526</v>
      </c>
      <c r="C72" s="12" t="s">
        <v>527</v>
      </c>
      <c r="D72" s="12" t="s">
        <v>528</v>
      </c>
      <c r="E72" s="12" t="s">
        <v>529</v>
      </c>
      <c r="F72" s="12" t="s">
        <v>529</v>
      </c>
      <c r="G72" s="12" t="s">
        <v>530</v>
      </c>
      <c r="H72" s="12"/>
      <c r="I72" s="14" t="b">
        <f aca="false">IF(Lookup!$B$3="",FALSE(),ISNUMBER(SEARCH(Lookup!$B$3,A72&amp;" "&amp;B72&amp;" "&amp;D72&amp;" "&amp;E72&amp;" "&amp;F72)))</f>
        <v>0</v>
      </c>
      <c r="J72" s="0" t="str">
        <f aca="false">IF(I72,COUNTIF($I$2:I72,TRUE()),"")</f>
        <v/>
      </c>
    </row>
    <row r="73" customFormat="false" ht="15" hidden="false" customHeight="false" outlineLevel="0" collapsed="false">
      <c r="A73" s="11" t="s">
        <v>531</v>
      </c>
      <c r="B73" s="12" t="s">
        <v>532</v>
      </c>
      <c r="C73" s="12" t="s">
        <v>533</v>
      </c>
      <c r="D73" s="12" t="s">
        <v>534</v>
      </c>
      <c r="E73" s="12" t="s">
        <v>535</v>
      </c>
      <c r="F73" s="12" t="s">
        <v>536</v>
      </c>
      <c r="G73" s="12" t="s">
        <v>537</v>
      </c>
      <c r="H73" s="12" t="s">
        <v>31</v>
      </c>
      <c r="I73" s="14" t="b">
        <f aca="false">IF(Lookup!$B$3="",FALSE(),ISNUMBER(SEARCH(Lookup!$B$3,A73&amp;" "&amp;B73&amp;" "&amp;D73&amp;" "&amp;E73&amp;" "&amp;F73)))</f>
        <v>0</v>
      </c>
      <c r="J73" s="0" t="str">
        <f aca="false">IF(I73,COUNTIF($I$2:I73,TRUE()),"")</f>
        <v/>
      </c>
    </row>
    <row r="74" customFormat="false" ht="15" hidden="false" customHeight="false" outlineLevel="0" collapsed="false">
      <c r="A74" s="11" t="s">
        <v>538</v>
      </c>
      <c r="B74" s="12" t="s">
        <v>539</v>
      </c>
      <c r="C74" s="12" t="s">
        <v>540</v>
      </c>
      <c r="D74" s="12" t="s">
        <v>541</v>
      </c>
      <c r="E74" s="12" t="s">
        <v>542</v>
      </c>
      <c r="F74" s="12" t="s">
        <v>543</v>
      </c>
      <c r="G74" s="12" t="s">
        <v>544</v>
      </c>
      <c r="H74" s="12" t="s">
        <v>545</v>
      </c>
      <c r="I74" s="14" t="b">
        <f aca="false">IF(Lookup!$B$3="",FALSE(),ISNUMBER(SEARCH(Lookup!$B$3,A74&amp;" "&amp;B74&amp;" "&amp;D74&amp;" "&amp;E74&amp;" "&amp;F74)))</f>
        <v>0</v>
      </c>
      <c r="J74" s="0" t="str">
        <f aca="false">IF(I74,COUNTIF($I$2:I74,TRUE()),"")</f>
        <v/>
      </c>
    </row>
    <row r="75" customFormat="false" ht="15" hidden="false" customHeight="false" outlineLevel="0" collapsed="false">
      <c r="A75" s="11" t="s">
        <v>546</v>
      </c>
      <c r="B75" s="12" t="s">
        <v>547</v>
      </c>
      <c r="C75" s="12" t="s">
        <v>467</v>
      </c>
      <c r="D75" s="12" t="s">
        <v>548</v>
      </c>
      <c r="E75" s="12" t="s">
        <v>549</v>
      </c>
      <c r="F75" s="12" t="s">
        <v>550</v>
      </c>
      <c r="G75" s="12" t="s">
        <v>551</v>
      </c>
      <c r="H75" s="12"/>
      <c r="I75" s="14" t="b">
        <f aca="false">IF(Lookup!$B$3="",FALSE(),ISNUMBER(SEARCH(Lookup!$B$3,A75&amp;" "&amp;B75&amp;" "&amp;D75&amp;" "&amp;E75&amp;" "&amp;F75)))</f>
        <v>0</v>
      </c>
      <c r="J75" s="0" t="str">
        <f aca="false">IF(I75,COUNTIF($I$2:I75,TRUE()),"")</f>
        <v/>
      </c>
    </row>
    <row r="76" customFormat="false" ht="15" hidden="false" customHeight="false" outlineLevel="0" collapsed="false">
      <c r="A76" s="11" t="s">
        <v>552</v>
      </c>
      <c r="B76" s="12" t="s">
        <v>553</v>
      </c>
      <c r="C76" s="12" t="s">
        <v>554</v>
      </c>
      <c r="D76" s="12" t="s">
        <v>555</v>
      </c>
      <c r="E76" s="12" t="s">
        <v>556</v>
      </c>
      <c r="F76" s="12" t="s">
        <v>557</v>
      </c>
      <c r="G76" s="12" t="s">
        <v>558</v>
      </c>
      <c r="H76" s="12"/>
      <c r="I76" s="14" t="b">
        <f aca="false">IF(Lookup!$B$3="",FALSE(),ISNUMBER(SEARCH(Lookup!$B$3,A76&amp;" "&amp;B76&amp;" "&amp;D76&amp;" "&amp;E76&amp;" "&amp;F76)))</f>
        <v>0</v>
      </c>
      <c r="J76" s="0" t="str">
        <f aca="false">IF(I76,COUNTIF($I$2:I76,TRUE()),"")</f>
        <v/>
      </c>
    </row>
    <row r="77" customFormat="false" ht="28.35" hidden="false" customHeight="false" outlineLevel="0" collapsed="false">
      <c r="A77" s="11" t="s">
        <v>559</v>
      </c>
      <c r="B77" s="12" t="s">
        <v>560</v>
      </c>
      <c r="C77" s="12" t="s">
        <v>561</v>
      </c>
      <c r="D77" s="12" t="s">
        <v>562</v>
      </c>
      <c r="E77" s="12" t="s">
        <v>563</v>
      </c>
      <c r="F77" s="12" t="s">
        <v>564</v>
      </c>
      <c r="G77" s="12" t="s">
        <v>565</v>
      </c>
      <c r="H77" s="12" t="s">
        <v>31</v>
      </c>
      <c r="I77" s="14" t="b">
        <f aca="false">IF(Lookup!$B$3="",FALSE(),ISNUMBER(SEARCH(Lookup!$B$3,A77&amp;" "&amp;B77&amp;" "&amp;D77&amp;" "&amp;E77&amp;" "&amp;F77)))</f>
        <v>0</v>
      </c>
      <c r="J77" s="0" t="str">
        <f aca="false">IF(I77,COUNTIF($I$2:I77,TRUE()),"")</f>
        <v/>
      </c>
    </row>
    <row r="78" customFormat="false" ht="15" hidden="false" customHeight="false" outlineLevel="0" collapsed="false">
      <c r="A78" s="11" t="s">
        <v>566</v>
      </c>
      <c r="B78" s="12" t="s">
        <v>567</v>
      </c>
      <c r="C78" s="12" t="s">
        <v>568</v>
      </c>
      <c r="D78" s="12" t="s">
        <v>569</v>
      </c>
      <c r="E78" s="12" t="s">
        <v>570</v>
      </c>
      <c r="F78" s="12" t="s">
        <v>571</v>
      </c>
      <c r="G78" s="12" t="s">
        <v>572</v>
      </c>
      <c r="H78" s="12"/>
      <c r="I78" s="14" t="b">
        <f aca="false">IF(Lookup!$B$3="",FALSE(),ISNUMBER(SEARCH(Lookup!$B$3,A78&amp;" "&amp;B78&amp;" "&amp;D78&amp;" "&amp;E78&amp;" "&amp;F78)))</f>
        <v>0</v>
      </c>
      <c r="J78" s="0" t="str">
        <f aca="false">IF(I78,COUNTIF($I$2:I78,TRUE()),"")</f>
        <v/>
      </c>
    </row>
    <row r="79" customFormat="false" ht="15" hidden="false" customHeight="false" outlineLevel="0" collapsed="false">
      <c r="A79" s="11" t="s">
        <v>573</v>
      </c>
      <c r="B79" s="12" t="s">
        <v>466</v>
      </c>
      <c r="C79" s="12" t="s">
        <v>574</v>
      </c>
      <c r="D79" s="12" t="s">
        <v>575</v>
      </c>
      <c r="E79" s="12" t="s">
        <v>576</v>
      </c>
      <c r="F79" s="12" t="s">
        <v>577</v>
      </c>
      <c r="G79" s="12" t="s">
        <v>578</v>
      </c>
      <c r="H79" s="12"/>
      <c r="I79" s="14" t="b">
        <f aca="false">IF(Lookup!$B$3="",FALSE(),ISNUMBER(SEARCH(Lookup!$B$3,A79&amp;" "&amp;B79&amp;" "&amp;D79&amp;" "&amp;E79&amp;" "&amp;F79)))</f>
        <v>0</v>
      </c>
      <c r="J79" s="0" t="str">
        <f aca="false">IF(I79,COUNTIF($I$2:I79,TRUE()),"")</f>
        <v/>
      </c>
    </row>
    <row r="80" customFormat="false" ht="15" hidden="false" customHeight="false" outlineLevel="0" collapsed="false">
      <c r="A80" s="11" t="s">
        <v>579</v>
      </c>
      <c r="B80" s="12" t="s">
        <v>580</v>
      </c>
      <c r="C80" s="12" t="s">
        <v>108</v>
      </c>
      <c r="D80" s="12" t="s">
        <v>581</v>
      </c>
      <c r="E80" s="12" t="s">
        <v>582</v>
      </c>
      <c r="F80" s="12" t="s">
        <v>583</v>
      </c>
      <c r="G80" s="12" t="s">
        <v>584</v>
      </c>
      <c r="H80" s="12"/>
      <c r="I80" s="14" t="b">
        <f aca="false">IF(Lookup!$B$3="",FALSE(),ISNUMBER(SEARCH(Lookup!$B$3,A80&amp;" "&amp;B80&amp;" "&amp;D80&amp;" "&amp;E80&amp;" "&amp;F80)))</f>
        <v>0</v>
      </c>
      <c r="J80" s="0" t="str">
        <f aca="false">IF(I80,COUNTIF($I$2:I80,TRUE()),"")</f>
        <v/>
      </c>
    </row>
    <row r="81" customFormat="false" ht="15" hidden="false" customHeight="false" outlineLevel="0" collapsed="false">
      <c r="A81" s="11" t="s">
        <v>585</v>
      </c>
      <c r="B81" s="12" t="s">
        <v>586</v>
      </c>
      <c r="C81" s="12" t="s">
        <v>587</v>
      </c>
      <c r="D81" s="12" t="s">
        <v>588</v>
      </c>
      <c r="E81" s="12" t="s">
        <v>589</v>
      </c>
      <c r="F81" s="12" t="s">
        <v>590</v>
      </c>
      <c r="G81" s="12" t="s">
        <v>591</v>
      </c>
      <c r="H81" s="12" t="s">
        <v>592</v>
      </c>
      <c r="I81" s="14" t="b">
        <f aca="false">IF(Lookup!$B$3="",FALSE(),ISNUMBER(SEARCH(Lookup!$B$3,A81&amp;" "&amp;B81&amp;" "&amp;D81&amp;" "&amp;E81&amp;" "&amp;F81)))</f>
        <v>0</v>
      </c>
      <c r="J81" s="0" t="str">
        <f aca="false">IF(I81,COUNTIF($I$2:I81,TRUE()),"")</f>
        <v/>
      </c>
    </row>
    <row r="82" customFormat="false" ht="15" hidden="false" customHeight="false" outlineLevel="0" collapsed="false">
      <c r="A82" s="11" t="s">
        <v>593</v>
      </c>
      <c r="B82" s="12" t="s">
        <v>594</v>
      </c>
      <c r="C82" s="12" t="s">
        <v>595</v>
      </c>
      <c r="D82" s="12" t="s">
        <v>596</v>
      </c>
      <c r="E82" s="12" t="s">
        <v>597</v>
      </c>
      <c r="F82" s="12" t="s">
        <v>598</v>
      </c>
      <c r="G82" s="12" t="s">
        <v>599</v>
      </c>
      <c r="H82" s="12" t="s">
        <v>600</v>
      </c>
      <c r="I82" s="14" t="b">
        <f aca="false">IF(Lookup!$B$3="",FALSE(),ISNUMBER(SEARCH(Lookup!$B$3,A82&amp;" "&amp;B82&amp;" "&amp;D82&amp;" "&amp;E82&amp;" "&amp;F82)))</f>
        <v>0</v>
      </c>
      <c r="J82" s="0" t="str">
        <f aca="false">IF(I82,COUNTIF($I$2:I82,TRUE()),"")</f>
        <v/>
      </c>
    </row>
    <row r="83" customFormat="false" ht="28.35" hidden="false" customHeight="false" outlineLevel="0" collapsed="false">
      <c r="A83" s="11" t="s">
        <v>601</v>
      </c>
      <c r="B83" s="12" t="s">
        <v>474</v>
      </c>
      <c r="C83" s="12" t="s">
        <v>602</v>
      </c>
      <c r="D83" s="12" t="s">
        <v>603</v>
      </c>
      <c r="E83" s="12" t="s">
        <v>604</v>
      </c>
      <c r="F83" s="12" t="s">
        <v>605</v>
      </c>
      <c r="G83" s="12" t="s">
        <v>606</v>
      </c>
      <c r="H83" s="12" t="s">
        <v>607</v>
      </c>
      <c r="I83" s="14" t="b">
        <f aca="false">IF(Lookup!$B$3="",FALSE(),ISNUMBER(SEARCH(Lookup!$B$3,A83&amp;" "&amp;B83&amp;" "&amp;D83&amp;" "&amp;E83&amp;" "&amp;F83)))</f>
        <v>0</v>
      </c>
      <c r="J83" s="0" t="str">
        <f aca="false">IF(I83,COUNTIF($I$2:I83,TRUE()),"")</f>
        <v/>
      </c>
    </row>
    <row r="84" customFormat="false" ht="15" hidden="false" customHeight="false" outlineLevel="0" collapsed="false">
      <c r="A84" s="11" t="s">
        <v>608</v>
      </c>
      <c r="B84" s="12" t="s">
        <v>609</v>
      </c>
      <c r="C84" s="12" t="s">
        <v>277</v>
      </c>
      <c r="D84" s="12" t="s">
        <v>610</v>
      </c>
      <c r="E84" s="12" t="s">
        <v>611</v>
      </c>
      <c r="F84" s="12" t="s">
        <v>612</v>
      </c>
      <c r="G84" s="12" t="s">
        <v>613</v>
      </c>
      <c r="H84" s="12"/>
      <c r="I84" s="14" t="b">
        <f aca="false">IF(Lookup!$B$3="",FALSE(),ISNUMBER(SEARCH(Lookup!$B$3,A84&amp;" "&amp;B84&amp;" "&amp;D84&amp;" "&amp;E84&amp;" "&amp;F84)))</f>
        <v>0</v>
      </c>
      <c r="J84" s="0" t="str">
        <f aca="false">IF(I84,COUNTIF($I$2:I84,TRUE()),"")</f>
        <v/>
      </c>
    </row>
    <row r="85" customFormat="false" ht="15" hidden="false" customHeight="false" outlineLevel="0" collapsed="false">
      <c r="A85" s="11" t="s">
        <v>614</v>
      </c>
      <c r="B85" s="12" t="s">
        <v>615</v>
      </c>
      <c r="C85" s="12" t="s">
        <v>616</v>
      </c>
      <c r="D85" s="12" t="s">
        <v>617</v>
      </c>
      <c r="E85" s="12" t="s">
        <v>618</v>
      </c>
      <c r="F85" s="12" t="s">
        <v>619</v>
      </c>
      <c r="G85" s="12" t="s">
        <v>620</v>
      </c>
      <c r="H85" s="12"/>
      <c r="I85" s="14" t="b">
        <f aca="false">IF(Lookup!$B$3="",FALSE(),ISNUMBER(SEARCH(Lookup!$B$3,A85&amp;" "&amp;B85&amp;" "&amp;D85&amp;" "&amp;E85&amp;" "&amp;F85)))</f>
        <v>1</v>
      </c>
      <c r="J85" s="15" t="n">
        <f aca="false">IF(I85,COUNTIF($I$2:I85,TRUE()),"")</f>
        <v>1</v>
      </c>
    </row>
    <row r="86" customFormat="false" ht="15" hidden="false" customHeight="false" outlineLevel="0" collapsed="false">
      <c r="A86" s="11" t="s">
        <v>621</v>
      </c>
      <c r="B86" s="12" t="s">
        <v>40</v>
      </c>
      <c r="C86" s="12" t="s">
        <v>622</v>
      </c>
      <c r="D86" s="12" t="s">
        <v>623</v>
      </c>
      <c r="E86" s="12" t="s">
        <v>624</v>
      </c>
      <c r="F86" s="12" t="s">
        <v>625</v>
      </c>
      <c r="G86" s="12" t="s">
        <v>626</v>
      </c>
      <c r="H86" s="12"/>
      <c r="I86" s="14" t="b">
        <f aca="false">IF(Lookup!$B$3="",FALSE(),ISNUMBER(SEARCH(Lookup!$B$3,A86&amp;" "&amp;B86&amp;" "&amp;D86&amp;" "&amp;E86&amp;" "&amp;F86)))</f>
        <v>0</v>
      </c>
      <c r="J86" s="0" t="str">
        <f aca="false">IF(I86,COUNTIF($I$2:I86,TRUE()),"")</f>
        <v/>
      </c>
    </row>
    <row r="87" customFormat="false" ht="15" hidden="false" customHeight="false" outlineLevel="0" collapsed="false">
      <c r="A87" s="11" t="s">
        <v>627</v>
      </c>
      <c r="B87" s="12" t="s">
        <v>628</v>
      </c>
      <c r="C87" s="12" t="s">
        <v>629</v>
      </c>
      <c r="D87" s="12" t="s">
        <v>630</v>
      </c>
      <c r="E87" s="12" t="s">
        <v>631</v>
      </c>
      <c r="F87" s="12" t="s">
        <v>632</v>
      </c>
      <c r="G87" s="12" t="s">
        <v>633</v>
      </c>
      <c r="H87" s="12"/>
      <c r="I87" s="14" t="b">
        <f aca="false">IF(Lookup!$B$3="",FALSE(),ISNUMBER(SEARCH(Lookup!$B$3,A87&amp;" "&amp;B87&amp;" "&amp;D87&amp;" "&amp;E87&amp;" "&amp;F87)))</f>
        <v>0</v>
      </c>
      <c r="J87" s="0" t="str">
        <f aca="false">IF(I87,COUNTIF($I$2:I87,TRUE()),"")</f>
        <v/>
      </c>
    </row>
    <row r="88" customFormat="false" ht="15" hidden="false" customHeight="false" outlineLevel="0" collapsed="false">
      <c r="A88" s="11" t="s">
        <v>73</v>
      </c>
      <c r="B88" s="12" t="s">
        <v>71</v>
      </c>
      <c r="C88" s="12" t="s">
        <v>634</v>
      </c>
      <c r="D88" s="12" t="s">
        <v>70</v>
      </c>
      <c r="E88" s="12" t="s">
        <v>635</v>
      </c>
      <c r="F88" s="12" t="s">
        <v>636</v>
      </c>
      <c r="G88" s="12" t="s">
        <v>637</v>
      </c>
      <c r="H88" s="12"/>
      <c r="I88" s="14" t="b">
        <f aca="false">IF(Lookup!$B$3="",FALSE(),ISNUMBER(SEARCH(Lookup!$B$3,A88&amp;" "&amp;B88&amp;" "&amp;D88&amp;" "&amp;E88&amp;" "&amp;F88)))</f>
        <v>0</v>
      </c>
      <c r="J88" s="0" t="str">
        <f aca="false">IF(I88,COUNTIF($I$2:I88,TRUE()),"")</f>
        <v/>
      </c>
    </row>
    <row r="89" customFormat="false" ht="28.35" hidden="false" customHeight="false" outlineLevel="0" collapsed="false">
      <c r="A89" s="11" t="s">
        <v>638</v>
      </c>
      <c r="B89" s="12" t="s">
        <v>639</v>
      </c>
      <c r="C89" s="12" t="s">
        <v>640</v>
      </c>
      <c r="D89" s="12" t="s">
        <v>641</v>
      </c>
      <c r="E89" s="12" t="s">
        <v>642</v>
      </c>
      <c r="F89" s="12" t="s">
        <v>643</v>
      </c>
      <c r="G89" s="12" t="s">
        <v>644</v>
      </c>
      <c r="H89" s="12" t="s">
        <v>645</v>
      </c>
      <c r="I89" s="14" t="b">
        <f aca="false">IF(Lookup!$B$3="",FALSE(),ISNUMBER(SEARCH(Lookup!$B$3,A89&amp;" "&amp;B89&amp;" "&amp;D89&amp;" "&amp;E89&amp;" "&amp;F89)))</f>
        <v>0</v>
      </c>
      <c r="J89" s="0" t="str">
        <f aca="false">IF(I89,COUNTIF($I$2:I89,TRUE()),"")</f>
        <v/>
      </c>
    </row>
    <row r="90" customFormat="false" ht="28.35" hidden="false" customHeight="false" outlineLevel="0" collapsed="false">
      <c r="A90" s="11" t="s">
        <v>646</v>
      </c>
      <c r="B90" s="12" t="s">
        <v>647</v>
      </c>
      <c r="C90" s="12" t="s">
        <v>648</v>
      </c>
      <c r="D90" s="12" t="s">
        <v>649</v>
      </c>
      <c r="E90" s="12" t="s">
        <v>650</v>
      </c>
      <c r="F90" s="12" t="s">
        <v>651</v>
      </c>
      <c r="G90" s="12" t="s">
        <v>652</v>
      </c>
      <c r="H90" s="12" t="s">
        <v>653</v>
      </c>
      <c r="I90" s="14" t="b">
        <f aca="false">IF(Lookup!$B$3="",FALSE(),ISNUMBER(SEARCH(Lookup!$B$3,A90&amp;" "&amp;B90&amp;" "&amp;D90&amp;" "&amp;E90&amp;" "&amp;F90)))</f>
        <v>0</v>
      </c>
      <c r="J90" s="0" t="str">
        <f aca="false">IF(I90,COUNTIF($I$2:I90,TRUE()),"")</f>
        <v/>
      </c>
    </row>
    <row r="91" customFormat="false" ht="15" hidden="false" customHeight="false" outlineLevel="0" collapsed="false">
      <c r="A91" s="11" t="s">
        <v>654</v>
      </c>
      <c r="B91" s="12" t="s">
        <v>363</v>
      </c>
      <c r="C91" s="12" t="s">
        <v>655</v>
      </c>
      <c r="D91" s="12" t="s">
        <v>656</v>
      </c>
      <c r="E91" s="12" t="s">
        <v>657</v>
      </c>
      <c r="F91" s="12" t="s">
        <v>658</v>
      </c>
      <c r="G91" s="12" t="s">
        <v>659</v>
      </c>
      <c r="H91" s="12"/>
      <c r="I91" s="14" t="b">
        <f aca="false">IF(Lookup!$B$3="",FALSE(),ISNUMBER(SEARCH(Lookup!$B$3,A91&amp;" "&amp;B91&amp;" "&amp;D91&amp;" "&amp;E91&amp;" "&amp;F91)))</f>
        <v>0</v>
      </c>
      <c r="J91" s="0" t="str">
        <f aca="false">IF(I91,COUNTIF($I$2:I91,TRUE()),"")</f>
        <v/>
      </c>
    </row>
    <row r="92" customFormat="false" ht="15" hidden="false" customHeight="false" outlineLevel="0" collapsed="false">
      <c r="A92" s="11" t="s">
        <v>660</v>
      </c>
      <c r="B92" s="12" t="s">
        <v>661</v>
      </c>
      <c r="C92" s="12" t="s">
        <v>662</v>
      </c>
      <c r="D92" s="12" t="s">
        <v>663</v>
      </c>
      <c r="E92" s="12" t="s">
        <v>664</v>
      </c>
      <c r="F92" s="12" t="s">
        <v>665</v>
      </c>
      <c r="G92" s="12" t="s">
        <v>666</v>
      </c>
      <c r="H92" s="12" t="s">
        <v>667</v>
      </c>
      <c r="I92" s="14" t="b">
        <f aca="false">IF(Lookup!$B$3="",FALSE(),ISNUMBER(SEARCH(Lookup!$B$3,A92&amp;" "&amp;B92&amp;" "&amp;D92&amp;" "&amp;E92&amp;" "&amp;F92)))</f>
        <v>0</v>
      </c>
      <c r="J92" s="0" t="str">
        <f aca="false">IF(I92,COUNTIF($I$2:I92,TRUE()),"")</f>
        <v/>
      </c>
    </row>
    <row r="93" customFormat="false" ht="15" hidden="false" customHeight="false" outlineLevel="0" collapsed="false">
      <c r="A93" s="11" t="s">
        <v>668</v>
      </c>
      <c r="B93" s="12" t="s">
        <v>669</v>
      </c>
      <c r="C93" s="12" t="s">
        <v>670</v>
      </c>
      <c r="D93" s="12" t="s">
        <v>671</v>
      </c>
      <c r="E93" s="12" t="s">
        <v>672</v>
      </c>
      <c r="F93" s="12" t="s">
        <v>673</v>
      </c>
      <c r="G93" s="12" t="s">
        <v>674</v>
      </c>
      <c r="H93" s="12"/>
      <c r="I93" s="14" t="b">
        <f aca="false">IF(Lookup!$B$3="",FALSE(),ISNUMBER(SEARCH(Lookup!$B$3,A93&amp;" "&amp;B93&amp;" "&amp;D93&amp;" "&amp;E93&amp;" "&amp;F93)))</f>
        <v>0</v>
      </c>
      <c r="J93" s="0" t="str">
        <f aca="false">IF(I93,COUNTIF($I$2:I93,TRUE()),"")</f>
        <v/>
      </c>
    </row>
    <row r="94" customFormat="false" ht="15" hidden="false" customHeight="false" outlineLevel="0" collapsed="false">
      <c r="A94" s="11" t="s">
        <v>675</v>
      </c>
      <c r="B94" s="12" t="s">
        <v>609</v>
      </c>
      <c r="C94" s="12" t="s">
        <v>676</v>
      </c>
      <c r="D94" s="12" t="s">
        <v>677</v>
      </c>
      <c r="E94" s="12" t="s">
        <v>678</v>
      </c>
      <c r="F94" s="12" t="s">
        <v>679</v>
      </c>
      <c r="G94" s="12" t="s">
        <v>680</v>
      </c>
      <c r="H94" s="12"/>
      <c r="I94" s="14" t="b">
        <f aca="false">IF(Lookup!$B$3="",FALSE(),ISNUMBER(SEARCH(Lookup!$B$3,A94&amp;" "&amp;B94&amp;" "&amp;D94&amp;" "&amp;E94&amp;" "&amp;F94)))</f>
        <v>0</v>
      </c>
      <c r="J94" s="0" t="str">
        <f aca="false">IF(I94,COUNTIF($I$2:I94,TRUE()),"")</f>
        <v/>
      </c>
    </row>
    <row r="95" customFormat="false" ht="15" hidden="false" customHeight="false" outlineLevel="0" collapsed="false">
      <c r="A95" s="11" t="s">
        <v>681</v>
      </c>
      <c r="B95" s="12" t="s">
        <v>232</v>
      </c>
      <c r="C95" s="12" t="s">
        <v>682</v>
      </c>
      <c r="D95" s="12" t="s">
        <v>683</v>
      </c>
      <c r="E95" s="12" t="s">
        <v>684</v>
      </c>
      <c r="F95" s="12" t="s">
        <v>685</v>
      </c>
      <c r="G95" s="12" t="s">
        <v>686</v>
      </c>
      <c r="H95" s="12"/>
      <c r="I95" s="14" t="b">
        <f aca="false">IF(Lookup!$B$3="",FALSE(),ISNUMBER(SEARCH(Lookup!$B$3,A95&amp;" "&amp;B95&amp;" "&amp;D95&amp;" "&amp;E95&amp;" "&amp;F95)))</f>
        <v>0</v>
      </c>
      <c r="J95" s="0" t="str">
        <f aca="false">IF(I95,COUNTIF($I$2:I95,TRUE()),"")</f>
        <v/>
      </c>
    </row>
    <row r="96" customFormat="false" ht="15" hidden="false" customHeight="false" outlineLevel="0" collapsed="false">
      <c r="A96" s="11" t="s">
        <v>687</v>
      </c>
      <c r="B96" s="12" t="s">
        <v>688</v>
      </c>
      <c r="C96" s="12" t="s">
        <v>689</v>
      </c>
      <c r="D96" s="12" t="s">
        <v>690</v>
      </c>
      <c r="E96" s="12" t="s">
        <v>691</v>
      </c>
      <c r="F96" s="12" t="s">
        <v>692</v>
      </c>
      <c r="G96" s="12" t="s">
        <v>693</v>
      </c>
      <c r="H96" s="12"/>
      <c r="I96" s="14" t="b">
        <f aca="false">IF(Lookup!$B$3="",FALSE(),ISNUMBER(SEARCH(Lookup!$B$3,A96&amp;" "&amp;B96&amp;" "&amp;D96&amp;" "&amp;E96&amp;" "&amp;F96)))</f>
        <v>0</v>
      </c>
      <c r="J96" s="0" t="str">
        <f aca="false">IF(I96,COUNTIF($I$2:I96,TRUE()),"")</f>
        <v/>
      </c>
    </row>
    <row r="97" customFormat="false" ht="15" hidden="false" customHeight="false" outlineLevel="0" collapsed="false">
      <c r="A97" s="11" t="s">
        <v>694</v>
      </c>
      <c r="B97" s="12" t="s">
        <v>695</v>
      </c>
      <c r="C97" s="12" t="s">
        <v>696</v>
      </c>
      <c r="D97" s="12" t="s">
        <v>697</v>
      </c>
      <c r="E97" s="12" t="s">
        <v>698</v>
      </c>
      <c r="F97" s="12" t="s">
        <v>699</v>
      </c>
      <c r="G97" s="12" t="s">
        <v>700</v>
      </c>
      <c r="H97" s="12"/>
      <c r="I97" s="14" t="b">
        <f aca="false">IF(Lookup!$B$3="",FALSE(),ISNUMBER(SEARCH(Lookup!$B$3,A97&amp;" "&amp;B97&amp;" "&amp;D97&amp;" "&amp;E97&amp;" "&amp;F97)))</f>
        <v>0</v>
      </c>
      <c r="J97" s="0" t="str">
        <f aca="false">IF(I97,COUNTIF($I$2:I97,TRUE()),"")</f>
        <v/>
      </c>
    </row>
    <row r="98" customFormat="false" ht="15" hidden="false" customHeight="false" outlineLevel="0" collapsed="false">
      <c r="A98" s="11" t="s">
        <v>701</v>
      </c>
      <c r="B98" s="12" t="s">
        <v>702</v>
      </c>
      <c r="C98" s="12" t="s">
        <v>703</v>
      </c>
      <c r="D98" s="12" t="s">
        <v>704</v>
      </c>
      <c r="E98" s="12" t="s">
        <v>705</v>
      </c>
      <c r="F98" s="12" t="s">
        <v>706</v>
      </c>
      <c r="G98" s="12" t="s">
        <v>707</v>
      </c>
      <c r="H98" s="12" t="s">
        <v>708</v>
      </c>
      <c r="I98" s="14" t="b">
        <f aca="false">IF(Lookup!$B$3="",FALSE(),ISNUMBER(SEARCH(Lookup!$B$3,A98&amp;" "&amp;B98&amp;" "&amp;D98&amp;" "&amp;E98&amp;" "&amp;F98)))</f>
        <v>0</v>
      </c>
      <c r="J98" s="0" t="str">
        <f aca="false">IF(I98,COUNTIF($I$2:I98,TRUE()),"")</f>
        <v/>
      </c>
    </row>
    <row r="99" customFormat="false" ht="15" hidden="false" customHeight="false" outlineLevel="0" collapsed="false">
      <c r="A99" s="11" t="s">
        <v>709</v>
      </c>
      <c r="B99" s="12" t="s">
        <v>25</v>
      </c>
      <c r="C99" s="12" t="s">
        <v>710</v>
      </c>
      <c r="D99" s="12" t="s">
        <v>711</v>
      </c>
      <c r="E99" s="12" t="s">
        <v>712</v>
      </c>
      <c r="F99" s="12" t="s">
        <v>713</v>
      </c>
      <c r="G99" s="12" t="s">
        <v>714</v>
      </c>
      <c r="H99" s="12" t="s">
        <v>31</v>
      </c>
      <c r="I99" s="14" t="b">
        <f aca="false">IF(Lookup!$B$3="",FALSE(),ISNUMBER(SEARCH(Lookup!$B$3,A99&amp;" "&amp;B99&amp;" "&amp;D99&amp;" "&amp;E99&amp;" "&amp;F99)))</f>
        <v>0</v>
      </c>
      <c r="J99" s="0" t="str">
        <f aca="false">IF(I99,COUNTIF($I$2:I99,TRUE()),"")</f>
        <v/>
      </c>
    </row>
    <row r="100" customFormat="false" ht="15" hidden="false" customHeight="false" outlineLevel="0" collapsed="false">
      <c r="A100" s="11" t="s">
        <v>715</v>
      </c>
      <c r="B100" s="12" t="s">
        <v>86</v>
      </c>
      <c r="C100" s="12" t="s">
        <v>716</v>
      </c>
      <c r="D100" s="12" t="s">
        <v>717</v>
      </c>
      <c r="E100" s="12" t="s">
        <v>718</v>
      </c>
      <c r="F100" s="12" t="s">
        <v>719</v>
      </c>
      <c r="G100" s="12" t="s">
        <v>720</v>
      </c>
      <c r="H100" s="12"/>
      <c r="I100" s="14" t="b">
        <f aca="false">IF(Lookup!$B$3="",FALSE(),ISNUMBER(SEARCH(Lookup!$B$3,A100&amp;" "&amp;B100&amp;" "&amp;D100&amp;" "&amp;E100&amp;" "&amp;F100)))</f>
        <v>0</v>
      </c>
      <c r="J100" s="0" t="str">
        <f aca="false">IF(I100,COUNTIF($I$2:I100,TRUE()),"")</f>
        <v/>
      </c>
    </row>
    <row r="101" customFormat="false" ht="15" hidden="false" customHeight="false" outlineLevel="0" collapsed="false">
      <c r="A101" s="11" t="s">
        <v>721</v>
      </c>
      <c r="B101" s="12" t="s">
        <v>722</v>
      </c>
      <c r="C101" s="12" t="s">
        <v>723</v>
      </c>
      <c r="D101" s="12" t="s">
        <v>724</v>
      </c>
      <c r="E101" s="12" t="s">
        <v>725</v>
      </c>
      <c r="F101" s="12" t="s">
        <v>726</v>
      </c>
      <c r="G101" s="12" t="s">
        <v>727</v>
      </c>
      <c r="H101" s="12"/>
      <c r="I101" s="14" t="b">
        <f aca="false">IF(Lookup!$B$3="",FALSE(),ISNUMBER(SEARCH(Lookup!$B$3,A101&amp;" "&amp;B101&amp;" "&amp;D101&amp;" "&amp;E101&amp;" "&amp;F101)))</f>
        <v>0</v>
      </c>
      <c r="J101" s="0" t="str">
        <f aca="false">IF(I101,COUNTIF($I$2:I101,TRUE()),"")</f>
        <v/>
      </c>
    </row>
    <row r="102" customFormat="false" ht="15" hidden="false" customHeight="false" outlineLevel="0" collapsed="false">
      <c r="A102" s="11" t="s">
        <v>724</v>
      </c>
      <c r="B102" s="12" t="s">
        <v>722</v>
      </c>
      <c r="C102" s="12" t="s">
        <v>728</v>
      </c>
      <c r="D102" s="12" t="s">
        <v>729</v>
      </c>
      <c r="E102" s="12" t="s">
        <v>730</v>
      </c>
      <c r="F102" s="12" t="s">
        <v>731</v>
      </c>
      <c r="G102" s="12" t="s">
        <v>732</v>
      </c>
      <c r="H102" s="12"/>
      <c r="I102" s="14" t="b">
        <f aca="false">IF(Lookup!$B$3="",FALSE(),ISNUMBER(SEARCH(Lookup!$B$3,A102&amp;" "&amp;B102&amp;" "&amp;D102&amp;" "&amp;E102&amp;" "&amp;F102)))</f>
        <v>0</v>
      </c>
      <c r="J102" s="0" t="str">
        <f aca="false">IF(I102,COUNTIF($I$2:I102,TRUE()),"")</f>
        <v/>
      </c>
    </row>
    <row r="103" customFormat="false" ht="15" hidden="false" customHeight="false" outlineLevel="0" collapsed="false">
      <c r="A103" s="11" t="s">
        <v>733</v>
      </c>
      <c r="B103" s="12" t="s">
        <v>734</v>
      </c>
      <c r="C103" s="12" t="s">
        <v>735</v>
      </c>
      <c r="D103" s="12" t="s">
        <v>197</v>
      </c>
      <c r="E103" s="12" t="s">
        <v>736</v>
      </c>
      <c r="F103" s="12" t="s">
        <v>737</v>
      </c>
      <c r="G103" s="12" t="s">
        <v>738</v>
      </c>
      <c r="H103" s="12"/>
      <c r="I103" s="14" t="b">
        <f aca="false">IF(Lookup!$B$3="",FALSE(),ISNUMBER(SEARCH(Lookup!$B$3,A103&amp;" "&amp;B103&amp;" "&amp;D103&amp;" "&amp;E103&amp;" "&amp;F103)))</f>
        <v>0</v>
      </c>
      <c r="J103" s="0" t="str">
        <f aca="false">IF(I103,COUNTIF($I$2:I103,TRUE()),"")</f>
        <v/>
      </c>
    </row>
    <row r="104" customFormat="false" ht="15" hidden="false" customHeight="false" outlineLevel="0" collapsed="false">
      <c r="A104" s="11" t="s">
        <v>739</v>
      </c>
      <c r="B104" s="12" t="s">
        <v>740</v>
      </c>
      <c r="C104" s="12" t="s">
        <v>741</v>
      </c>
      <c r="D104" s="12" t="s">
        <v>742</v>
      </c>
      <c r="E104" s="12" t="s">
        <v>743</v>
      </c>
      <c r="F104" s="12" t="s">
        <v>744</v>
      </c>
      <c r="G104" s="12" t="s">
        <v>745</v>
      </c>
      <c r="H104" s="12"/>
      <c r="I104" s="14" t="b">
        <f aca="false">IF(Lookup!$B$3="",FALSE(),ISNUMBER(SEARCH(Lookup!$B$3,A104&amp;" "&amp;B104&amp;" "&amp;D104&amp;" "&amp;E104&amp;" "&amp;F104)))</f>
        <v>0</v>
      </c>
      <c r="J104" s="0" t="str">
        <f aca="false">IF(I104,COUNTIF($I$2:I104,TRUE()),"")</f>
        <v/>
      </c>
    </row>
    <row r="105" customFormat="false" ht="15" hidden="false" customHeight="false" outlineLevel="0" collapsed="false">
      <c r="A105" s="11" t="s">
        <v>746</v>
      </c>
      <c r="B105" s="12" t="s">
        <v>747</v>
      </c>
      <c r="C105" s="12" t="s">
        <v>748</v>
      </c>
      <c r="D105" s="12" t="s">
        <v>749</v>
      </c>
      <c r="E105" s="12" t="s">
        <v>750</v>
      </c>
      <c r="F105" s="12" t="s">
        <v>751</v>
      </c>
      <c r="G105" s="12" t="s">
        <v>752</v>
      </c>
      <c r="H105" s="12"/>
      <c r="I105" s="14" t="b">
        <f aca="false">IF(Lookup!$B$3="",FALSE(),ISNUMBER(SEARCH(Lookup!$B$3,A105&amp;" "&amp;B105&amp;" "&amp;D105&amp;" "&amp;E105&amp;" "&amp;F105)))</f>
        <v>0</v>
      </c>
      <c r="J105" s="0" t="str">
        <f aca="false">IF(I105,COUNTIF($I$2:I105,TRUE()),"")</f>
        <v/>
      </c>
    </row>
    <row r="106" customFormat="false" ht="15" hidden="false" customHeight="false" outlineLevel="0" collapsed="false">
      <c r="A106" s="11" t="s">
        <v>753</v>
      </c>
      <c r="B106" s="12" t="s">
        <v>754</v>
      </c>
      <c r="C106" s="12" t="s">
        <v>755</v>
      </c>
      <c r="D106" s="12" t="s">
        <v>756</v>
      </c>
      <c r="E106" s="12" t="s">
        <v>757</v>
      </c>
      <c r="F106" s="12" t="s">
        <v>758</v>
      </c>
      <c r="G106" s="12" t="s">
        <v>759</v>
      </c>
      <c r="H106" s="12"/>
      <c r="I106" s="14" t="b">
        <f aca="false">IF(Lookup!$B$3="",FALSE(),ISNUMBER(SEARCH(Lookup!$B$3,A106&amp;" "&amp;B106&amp;" "&amp;D106&amp;" "&amp;E106&amp;" "&amp;F106)))</f>
        <v>0</v>
      </c>
      <c r="J106" s="0" t="str">
        <f aca="false">IF(I106,COUNTIF($I$2:I106,TRUE()),"")</f>
        <v/>
      </c>
    </row>
    <row r="107" customFormat="false" ht="15" hidden="false" customHeight="false" outlineLevel="0" collapsed="false">
      <c r="A107" s="11" t="s">
        <v>760</v>
      </c>
      <c r="B107" s="12" t="s">
        <v>761</v>
      </c>
      <c r="C107" s="12" t="s">
        <v>762</v>
      </c>
      <c r="D107" s="12" t="s">
        <v>140</v>
      </c>
      <c r="E107" s="12" t="s">
        <v>763</v>
      </c>
      <c r="F107" s="12" t="s">
        <v>764</v>
      </c>
      <c r="G107" s="12" t="s">
        <v>765</v>
      </c>
      <c r="H107" s="12" t="s">
        <v>766</v>
      </c>
      <c r="I107" s="14" t="b">
        <f aca="false">IF(Lookup!$B$3="",FALSE(),ISNUMBER(SEARCH(Lookup!$B$3,A107&amp;" "&amp;B107&amp;" "&amp;D107&amp;" "&amp;E107&amp;" "&amp;F107)))</f>
        <v>0</v>
      </c>
      <c r="J107" s="0" t="str">
        <f aca="false">IF(I107,COUNTIF($I$2:I107,TRUE()),"")</f>
        <v/>
      </c>
    </row>
    <row r="108" customFormat="false" ht="28.35" hidden="false" customHeight="false" outlineLevel="0" collapsed="false">
      <c r="A108" s="11" t="s">
        <v>767</v>
      </c>
      <c r="B108" s="12" t="s">
        <v>768</v>
      </c>
      <c r="C108" s="12" t="s">
        <v>769</v>
      </c>
      <c r="D108" s="12" t="s">
        <v>770</v>
      </c>
      <c r="E108" s="12" t="s">
        <v>771</v>
      </c>
      <c r="F108" s="12" t="s">
        <v>772</v>
      </c>
      <c r="G108" s="12" t="s">
        <v>773</v>
      </c>
      <c r="H108" s="12" t="s">
        <v>774</v>
      </c>
      <c r="I108" s="14" t="b">
        <f aca="false">IF(Lookup!$B$3="",FALSE(),ISNUMBER(SEARCH(Lookup!$B$3,A108&amp;" "&amp;B108&amp;" "&amp;D108&amp;" "&amp;E108&amp;" "&amp;F108)))</f>
        <v>0</v>
      </c>
      <c r="J108" s="0" t="str">
        <f aca="false">IF(I108,COUNTIF($I$2:I108,TRUE()),"")</f>
        <v/>
      </c>
    </row>
    <row r="109" customFormat="false" ht="15" hidden="false" customHeight="false" outlineLevel="0" collapsed="false">
      <c r="A109" s="11" t="s">
        <v>775</v>
      </c>
      <c r="B109" s="12" t="s">
        <v>776</v>
      </c>
      <c r="C109" s="12" t="s">
        <v>777</v>
      </c>
      <c r="D109" s="12" t="s">
        <v>778</v>
      </c>
      <c r="E109" s="12" t="s">
        <v>779</v>
      </c>
      <c r="F109" s="12" t="s">
        <v>780</v>
      </c>
      <c r="G109" s="12" t="s">
        <v>781</v>
      </c>
      <c r="H109" s="12"/>
      <c r="I109" s="14" t="b">
        <f aca="false">IF(Lookup!$B$3="",FALSE(),ISNUMBER(SEARCH(Lookup!$B$3,A109&amp;" "&amp;B109&amp;" "&amp;D109&amp;" "&amp;E109&amp;" "&amp;F109)))</f>
        <v>0</v>
      </c>
      <c r="J109" s="0" t="str">
        <f aca="false">IF(I109,COUNTIF($I$2:I109,TRUE()),"")</f>
        <v/>
      </c>
    </row>
    <row r="110" customFormat="false" ht="15" hidden="false" customHeight="false" outlineLevel="0" collapsed="false">
      <c r="A110" s="11" t="s">
        <v>782</v>
      </c>
      <c r="B110" s="12" t="s">
        <v>489</v>
      </c>
      <c r="C110" s="12" t="s">
        <v>783</v>
      </c>
      <c r="D110" s="12" t="s">
        <v>784</v>
      </c>
      <c r="E110" s="12" t="s">
        <v>785</v>
      </c>
      <c r="F110" s="12" t="s">
        <v>786</v>
      </c>
      <c r="G110" s="12" t="s">
        <v>787</v>
      </c>
      <c r="H110" s="12"/>
      <c r="I110" s="14" t="b">
        <f aca="false">IF(Lookup!$B$3="",FALSE(),ISNUMBER(SEARCH(Lookup!$B$3,A110&amp;" "&amp;B110&amp;" "&amp;D110&amp;" "&amp;E110&amp;" "&amp;F110)))</f>
        <v>0</v>
      </c>
      <c r="J110" s="0" t="str">
        <f aca="false">IF(I110,COUNTIF($I$2:I110,TRUE()),"")</f>
        <v/>
      </c>
    </row>
    <row r="111" customFormat="false" ht="28.35" hidden="false" customHeight="false" outlineLevel="0" collapsed="false">
      <c r="A111" s="11" t="s">
        <v>788</v>
      </c>
      <c r="B111" s="12" t="s">
        <v>789</v>
      </c>
      <c r="C111" s="12" t="s">
        <v>790</v>
      </c>
      <c r="D111" s="12" t="s">
        <v>791</v>
      </c>
      <c r="E111" s="12" t="s">
        <v>792</v>
      </c>
      <c r="F111" s="12" t="s">
        <v>793</v>
      </c>
      <c r="G111" s="12" t="s">
        <v>794</v>
      </c>
      <c r="H111" s="12"/>
      <c r="I111" s="14" t="b">
        <f aca="false">IF(Lookup!$B$3="",FALSE(),ISNUMBER(SEARCH(Lookup!$B$3,A111&amp;" "&amp;B111&amp;" "&amp;D111&amp;" "&amp;E111&amp;" "&amp;F111)))</f>
        <v>0</v>
      </c>
      <c r="J111" s="0" t="str">
        <f aca="false">IF(I111,COUNTIF($I$2:I111,TRUE()),"")</f>
        <v/>
      </c>
    </row>
    <row r="112" customFormat="false" ht="15" hidden="false" customHeight="false" outlineLevel="0" collapsed="false">
      <c r="A112" s="11" t="s">
        <v>795</v>
      </c>
      <c r="B112" s="12" t="s">
        <v>796</v>
      </c>
      <c r="C112" s="12" t="s">
        <v>797</v>
      </c>
      <c r="D112" s="12" t="s">
        <v>798</v>
      </c>
      <c r="E112" s="12" t="s">
        <v>799</v>
      </c>
      <c r="F112" s="12" t="s">
        <v>800</v>
      </c>
      <c r="G112" s="12" t="s">
        <v>801</v>
      </c>
      <c r="H112" s="12"/>
      <c r="I112" s="14" t="b">
        <f aca="false">IF(Lookup!$B$3="",FALSE(),ISNUMBER(SEARCH(Lookup!$B$3,A112&amp;" "&amp;B112&amp;" "&amp;D112&amp;" "&amp;E112&amp;" "&amp;F112)))</f>
        <v>0</v>
      </c>
      <c r="J112" s="0" t="str">
        <f aca="false">IF(I112,COUNTIF($I$2:I112,TRUE()),"")</f>
        <v/>
      </c>
    </row>
    <row r="113" customFormat="false" ht="28.35" hidden="false" customHeight="false" outlineLevel="0" collapsed="false">
      <c r="A113" s="11" t="s">
        <v>802</v>
      </c>
      <c r="B113" s="12" t="s">
        <v>510</v>
      </c>
      <c r="C113" s="12" t="s">
        <v>803</v>
      </c>
      <c r="D113" s="12" t="s">
        <v>804</v>
      </c>
      <c r="E113" s="12" t="s">
        <v>805</v>
      </c>
      <c r="F113" s="12" t="s">
        <v>806</v>
      </c>
      <c r="G113" s="12" t="s">
        <v>807</v>
      </c>
      <c r="H113" s="12" t="s">
        <v>808</v>
      </c>
      <c r="I113" s="14" t="b">
        <f aca="false">IF(Lookup!$B$3="",FALSE(),ISNUMBER(SEARCH(Lookup!$B$3,A113&amp;" "&amp;B113&amp;" "&amp;D113&amp;" "&amp;E113&amp;" "&amp;F113)))</f>
        <v>0</v>
      </c>
      <c r="J113" s="0" t="str">
        <f aca="false">IF(I113,COUNTIF($I$2:I113,TRUE()),"")</f>
        <v/>
      </c>
    </row>
    <row r="114" customFormat="false" ht="15" hidden="false" customHeight="false" outlineLevel="0" collapsed="false">
      <c r="A114" s="11" t="s">
        <v>809</v>
      </c>
      <c r="B114" s="12" t="s">
        <v>594</v>
      </c>
      <c r="C114" s="12" t="s">
        <v>810</v>
      </c>
      <c r="D114" s="12" t="s">
        <v>811</v>
      </c>
      <c r="E114" s="12" t="s">
        <v>812</v>
      </c>
      <c r="F114" s="12" t="s">
        <v>813</v>
      </c>
      <c r="G114" s="12" t="s">
        <v>814</v>
      </c>
      <c r="H114" s="12"/>
      <c r="I114" s="14" t="b">
        <f aca="false">IF(Lookup!$B$3="",FALSE(),ISNUMBER(SEARCH(Lookup!$B$3,A114&amp;" "&amp;B114&amp;" "&amp;D114&amp;" "&amp;E114&amp;" "&amp;F114)))</f>
        <v>0</v>
      </c>
      <c r="J114" s="0" t="str">
        <f aca="false">IF(I114,COUNTIF($I$2:I114,TRUE()),"")</f>
        <v/>
      </c>
    </row>
    <row r="115" customFormat="false" ht="28.35" hidden="false" customHeight="false" outlineLevel="0" collapsed="false">
      <c r="A115" s="11" t="s">
        <v>815</v>
      </c>
      <c r="B115" s="12" t="s">
        <v>138</v>
      </c>
      <c r="C115" s="12" t="s">
        <v>816</v>
      </c>
      <c r="D115" s="12" t="s">
        <v>817</v>
      </c>
      <c r="E115" s="12" t="s">
        <v>818</v>
      </c>
      <c r="F115" s="12" t="s">
        <v>819</v>
      </c>
      <c r="G115" s="12" t="s">
        <v>820</v>
      </c>
      <c r="H115" s="12" t="s">
        <v>821</v>
      </c>
      <c r="I115" s="14" t="b">
        <f aca="false">IF(Lookup!$B$3="",FALSE(),ISNUMBER(SEARCH(Lookup!$B$3,A115&amp;" "&amp;B115&amp;" "&amp;D115&amp;" "&amp;E115&amp;" "&amp;F115)))</f>
        <v>0</v>
      </c>
      <c r="J115" s="0" t="str">
        <f aca="false">IF(I115,COUNTIF($I$2:I115,TRUE()),"")</f>
        <v/>
      </c>
    </row>
    <row r="116" customFormat="false" ht="28.35" hidden="false" customHeight="false" outlineLevel="0" collapsed="false">
      <c r="A116" s="11" t="s">
        <v>822</v>
      </c>
      <c r="B116" s="12" t="s">
        <v>40</v>
      </c>
      <c r="C116" s="12" t="s">
        <v>823</v>
      </c>
      <c r="D116" s="12" t="s">
        <v>824</v>
      </c>
      <c r="E116" s="12" t="s">
        <v>825</v>
      </c>
      <c r="F116" s="12" t="s">
        <v>826</v>
      </c>
      <c r="G116" s="12" t="s">
        <v>827</v>
      </c>
      <c r="H116" s="12" t="s">
        <v>218</v>
      </c>
      <c r="I116" s="14" t="b">
        <f aca="false">IF(Lookup!$B$3="",FALSE(),ISNUMBER(SEARCH(Lookup!$B$3,A116&amp;" "&amp;B116&amp;" "&amp;D116&amp;" "&amp;E116&amp;" "&amp;F116)))</f>
        <v>0</v>
      </c>
      <c r="J116" s="0" t="str">
        <f aca="false">IF(I116,COUNTIF($I$2:I116,TRUE()),"")</f>
        <v/>
      </c>
    </row>
    <row r="117" customFormat="false" ht="15" hidden="false" customHeight="false" outlineLevel="0" collapsed="false">
      <c r="A117" s="11" t="s">
        <v>828</v>
      </c>
      <c r="B117" s="12" t="s">
        <v>761</v>
      </c>
      <c r="C117" s="12" t="s">
        <v>829</v>
      </c>
      <c r="D117" s="12" t="s">
        <v>830</v>
      </c>
      <c r="E117" s="12" t="s">
        <v>831</v>
      </c>
      <c r="F117" s="12" t="s">
        <v>831</v>
      </c>
      <c r="G117" s="12" t="s">
        <v>832</v>
      </c>
      <c r="H117" s="12" t="s">
        <v>833</v>
      </c>
      <c r="I117" s="14" t="b">
        <f aca="false">IF(Lookup!$B$3="",FALSE(),ISNUMBER(SEARCH(Lookup!$B$3,A117&amp;" "&amp;B117&amp;" "&amp;D117&amp;" "&amp;E117&amp;" "&amp;F117)))</f>
        <v>0</v>
      </c>
      <c r="J117" s="0" t="str">
        <f aca="false">IF(I117,COUNTIF($I$2:I117,TRUE()),"")</f>
        <v/>
      </c>
    </row>
    <row r="118" customFormat="false" ht="28.35" hidden="false" customHeight="false" outlineLevel="0" collapsed="false">
      <c r="A118" s="11" t="s">
        <v>834</v>
      </c>
      <c r="B118" s="12" t="s">
        <v>835</v>
      </c>
      <c r="C118" s="12" t="s">
        <v>836</v>
      </c>
      <c r="D118" s="12" t="s">
        <v>837</v>
      </c>
      <c r="E118" s="12" t="s">
        <v>838</v>
      </c>
      <c r="F118" s="12" t="s">
        <v>838</v>
      </c>
      <c r="G118" s="12" t="s">
        <v>839</v>
      </c>
      <c r="H118" s="12"/>
      <c r="I118" s="14" t="b">
        <f aca="false">IF(Lookup!$B$3="",FALSE(),ISNUMBER(SEARCH(Lookup!$B$3,A118&amp;" "&amp;B118&amp;" "&amp;D118&amp;" "&amp;E118&amp;" "&amp;F118)))</f>
        <v>0</v>
      </c>
      <c r="J118" s="0" t="str">
        <f aca="false">IF(I118,COUNTIF($I$2:I118,TRUE()),"")</f>
        <v/>
      </c>
    </row>
    <row r="119" customFormat="false" ht="15" hidden="false" customHeight="false" outlineLevel="0" collapsed="false">
      <c r="A119" s="11" t="s">
        <v>840</v>
      </c>
      <c r="B119" s="12" t="s">
        <v>841</v>
      </c>
      <c r="C119" s="12" t="s">
        <v>842</v>
      </c>
      <c r="D119" s="12" t="s">
        <v>843</v>
      </c>
      <c r="E119" s="12" t="s">
        <v>844</v>
      </c>
      <c r="F119" s="12" t="s">
        <v>844</v>
      </c>
      <c r="G119" s="12" t="s">
        <v>845</v>
      </c>
      <c r="H119" s="12"/>
      <c r="I119" s="14" t="b">
        <f aca="false">IF(Lookup!$B$3="",FALSE(),ISNUMBER(SEARCH(Lookup!$B$3,A119&amp;" "&amp;B119&amp;" "&amp;D119&amp;" "&amp;E119&amp;" "&amp;F119)))</f>
        <v>0</v>
      </c>
      <c r="J119" s="0" t="str">
        <f aca="false">IF(I119,COUNTIF($I$2:I119,TRUE()),"")</f>
        <v/>
      </c>
    </row>
    <row r="120" customFormat="false" ht="28.35" hidden="false" customHeight="false" outlineLevel="0" collapsed="false">
      <c r="A120" s="11" t="s">
        <v>846</v>
      </c>
      <c r="B120" s="12" t="s">
        <v>847</v>
      </c>
      <c r="C120" s="12" t="s">
        <v>848</v>
      </c>
      <c r="D120" s="12" t="s">
        <v>849</v>
      </c>
      <c r="E120" s="12" t="s">
        <v>850</v>
      </c>
      <c r="F120" s="12" t="s">
        <v>851</v>
      </c>
      <c r="G120" s="12" t="s">
        <v>852</v>
      </c>
      <c r="H120" s="12" t="s">
        <v>853</v>
      </c>
      <c r="I120" s="14" t="b">
        <f aca="false">IF(Lookup!$B$3="",FALSE(),ISNUMBER(SEARCH(Lookup!$B$3,A120&amp;" "&amp;B120&amp;" "&amp;D120&amp;" "&amp;E120&amp;" "&amp;F120)))</f>
        <v>0</v>
      </c>
      <c r="J120" s="0" t="str">
        <f aca="false">IF(I120,COUNTIF($I$2:I120,TRUE()),"")</f>
        <v/>
      </c>
    </row>
    <row r="121" customFormat="false" ht="28.35" hidden="false" customHeight="false" outlineLevel="0" collapsed="false">
      <c r="A121" s="11" t="s">
        <v>854</v>
      </c>
      <c r="B121" s="12" t="s">
        <v>835</v>
      </c>
      <c r="C121" s="12" t="s">
        <v>836</v>
      </c>
      <c r="D121" s="12" t="s">
        <v>855</v>
      </c>
      <c r="E121" s="12" t="s">
        <v>856</v>
      </c>
      <c r="F121" s="12" t="s">
        <v>857</v>
      </c>
      <c r="G121" s="12" t="s">
        <v>858</v>
      </c>
      <c r="H121" s="12"/>
      <c r="I121" s="14" t="b">
        <f aca="false">IF(Lookup!$B$3="",FALSE(),ISNUMBER(SEARCH(Lookup!$B$3,A121&amp;" "&amp;B121&amp;" "&amp;D121&amp;" "&amp;E121&amp;" "&amp;F121)))</f>
        <v>0</v>
      </c>
      <c r="J121" s="0" t="str">
        <f aca="false">IF(I121,COUNTIF($I$2:I121,TRUE()),"")</f>
        <v/>
      </c>
    </row>
    <row r="122" customFormat="false" ht="28.35" hidden="false" customHeight="false" outlineLevel="0" collapsed="false">
      <c r="A122" s="11" t="s">
        <v>859</v>
      </c>
      <c r="B122" s="12" t="s">
        <v>860</v>
      </c>
      <c r="C122" s="12" t="s">
        <v>861</v>
      </c>
      <c r="D122" s="12" t="s">
        <v>862</v>
      </c>
      <c r="E122" s="12" t="s">
        <v>863</v>
      </c>
      <c r="F122" s="12" t="s">
        <v>864</v>
      </c>
      <c r="G122" s="12" t="s">
        <v>865</v>
      </c>
      <c r="H122" s="12"/>
      <c r="I122" s="14" t="b">
        <f aca="false">IF(Lookup!$B$3="",FALSE(),ISNUMBER(SEARCH(Lookup!$B$3,A122&amp;" "&amp;B122&amp;" "&amp;D122&amp;" "&amp;E122&amp;" "&amp;F122)))</f>
        <v>0</v>
      </c>
      <c r="J122" s="0" t="str">
        <f aca="false">IF(I122,COUNTIF($I$2:I122,TRUE()),"")</f>
        <v/>
      </c>
    </row>
    <row r="123" customFormat="false" ht="15" hidden="false" customHeight="false" outlineLevel="0" collapsed="false">
      <c r="A123" s="11" t="s">
        <v>866</v>
      </c>
      <c r="B123" s="12" t="s">
        <v>647</v>
      </c>
      <c r="C123" s="12" t="s">
        <v>867</v>
      </c>
      <c r="D123" s="12" t="s">
        <v>868</v>
      </c>
      <c r="E123" s="12" t="s">
        <v>869</v>
      </c>
      <c r="F123" s="12" t="s">
        <v>870</v>
      </c>
      <c r="G123" s="12" t="s">
        <v>871</v>
      </c>
      <c r="H123" s="12"/>
      <c r="I123" s="14" t="b">
        <f aca="false">IF(Lookup!$B$3="",FALSE(),ISNUMBER(SEARCH(Lookup!$B$3,A123&amp;" "&amp;B123&amp;" "&amp;D123&amp;" "&amp;E123&amp;" "&amp;F123)))</f>
        <v>0</v>
      </c>
      <c r="J123" s="0" t="str">
        <f aca="false">IF(I123,COUNTIF($I$2:I123,TRUE()),"")</f>
        <v/>
      </c>
    </row>
    <row r="124" customFormat="false" ht="15" hidden="false" customHeight="false" outlineLevel="0" collapsed="false">
      <c r="A124" s="11" t="s">
        <v>872</v>
      </c>
      <c r="B124" s="12" t="s">
        <v>873</v>
      </c>
      <c r="C124" s="12" t="s">
        <v>874</v>
      </c>
      <c r="D124" s="12" t="s">
        <v>875</v>
      </c>
      <c r="E124" s="12" t="s">
        <v>876</v>
      </c>
      <c r="F124" s="12" t="s">
        <v>877</v>
      </c>
      <c r="G124" s="12" t="s">
        <v>878</v>
      </c>
      <c r="H124" s="12"/>
      <c r="I124" s="14" t="b">
        <f aca="false">IF(Lookup!$B$3="",FALSE(),ISNUMBER(SEARCH(Lookup!$B$3,A124&amp;" "&amp;B124&amp;" "&amp;D124&amp;" "&amp;E124&amp;" "&amp;F124)))</f>
        <v>0</v>
      </c>
      <c r="J124" s="0" t="str">
        <f aca="false">IF(I124,COUNTIF($I$2:I124,TRUE()),"")</f>
        <v/>
      </c>
    </row>
    <row r="125" customFormat="false" ht="15" hidden="false" customHeight="false" outlineLevel="0" collapsed="false">
      <c r="A125" s="11" t="s">
        <v>879</v>
      </c>
      <c r="B125" s="12" t="s">
        <v>880</v>
      </c>
      <c r="C125" s="12" t="s">
        <v>881</v>
      </c>
      <c r="D125" s="12" t="s">
        <v>882</v>
      </c>
      <c r="E125" s="12" t="s">
        <v>883</v>
      </c>
      <c r="F125" s="12" t="s">
        <v>884</v>
      </c>
      <c r="G125" s="12" t="s">
        <v>885</v>
      </c>
      <c r="H125" s="12"/>
      <c r="I125" s="14" t="b">
        <f aca="false">IF(Lookup!$B$3="",FALSE(),ISNUMBER(SEARCH(Lookup!$B$3,A125&amp;" "&amp;B125&amp;" "&amp;D125&amp;" "&amp;E125&amp;" "&amp;F125)))</f>
        <v>0</v>
      </c>
      <c r="J125" s="0" t="str">
        <f aca="false">IF(I125,COUNTIF($I$2:I125,TRUE()),"")</f>
        <v/>
      </c>
    </row>
    <row r="126" customFormat="false" ht="15" hidden="false" customHeight="false" outlineLevel="0" collapsed="false">
      <c r="A126" s="11" t="s">
        <v>886</v>
      </c>
      <c r="B126" s="12" t="s">
        <v>887</v>
      </c>
      <c r="C126" s="12" t="s">
        <v>888</v>
      </c>
      <c r="D126" s="12" t="s">
        <v>889</v>
      </c>
      <c r="E126" s="12" t="s">
        <v>890</v>
      </c>
      <c r="F126" s="12" t="s">
        <v>891</v>
      </c>
      <c r="G126" s="12" t="s">
        <v>892</v>
      </c>
      <c r="H126" s="12" t="s">
        <v>893</v>
      </c>
      <c r="I126" s="14" t="b">
        <f aca="false">IF(Lookup!$B$3="",FALSE(),ISNUMBER(SEARCH(Lookup!$B$3,A126&amp;" "&amp;B126&amp;" "&amp;D126&amp;" "&amp;E126&amp;" "&amp;F126)))</f>
        <v>0</v>
      </c>
      <c r="J126" s="0" t="str">
        <f aca="false">IF(I126,COUNTIF($I$2:I126,TRUE()),"")</f>
        <v/>
      </c>
    </row>
    <row r="127" customFormat="false" ht="15" hidden="false" customHeight="false" outlineLevel="0" collapsed="false">
      <c r="A127" s="11" t="s">
        <v>894</v>
      </c>
      <c r="B127" s="12" t="s">
        <v>895</v>
      </c>
      <c r="C127" s="12" t="s">
        <v>896</v>
      </c>
      <c r="D127" s="12" t="s">
        <v>897</v>
      </c>
      <c r="E127" s="12" t="s">
        <v>898</v>
      </c>
      <c r="F127" s="12" t="s">
        <v>899</v>
      </c>
      <c r="G127" s="12" t="s">
        <v>900</v>
      </c>
      <c r="H127" s="12" t="s">
        <v>901</v>
      </c>
      <c r="I127" s="14" t="b">
        <f aca="false">IF(Lookup!$B$3="",FALSE(),ISNUMBER(SEARCH(Lookup!$B$3,A127&amp;" "&amp;B127&amp;" "&amp;D127&amp;" "&amp;E127&amp;" "&amp;F127)))</f>
        <v>0</v>
      </c>
      <c r="J127" s="0" t="str">
        <f aca="false">IF(I127,COUNTIF($I$2:I127,TRUE()),"")</f>
        <v/>
      </c>
    </row>
    <row r="128" customFormat="false" ht="15" hidden="false" customHeight="false" outlineLevel="0" collapsed="false">
      <c r="A128" s="11" t="s">
        <v>902</v>
      </c>
      <c r="B128" s="12" t="s">
        <v>261</v>
      </c>
      <c r="C128" s="12" t="s">
        <v>903</v>
      </c>
      <c r="D128" s="12" t="s">
        <v>904</v>
      </c>
      <c r="E128" s="12" t="s">
        <v>905</v>
      </c>
      <c r="F128" s="12" t="s">
        <v>906</v>
      </c>
      <c r="G128" s="12" t="s">
        <v>907</v>
      </c>
      <c r="H128" s="12" t="s">
        <v>908</v>
      </c>
      <c r="I128" s="14" t="b">
        <f aca="false">IF(Lookup!$B$3="",FALSE(),ISNUMBER(SEARCH(Lookup!$B$3,A128&amp;" "&amp;B128&amp;" "&amp;D128&amp;" "&amp;E128&amp;" "&amp;F128)))</f>
        <v>0</v>
      </c>
      <c r="J128" s="0" t="str">
        <f aca="false">IF(I128,COUNTIF($I$2:I128,TRUE()),"")</f>
        <v/>
      </c>
    </row>
    <row r="129" customFormat="false" ht="15" hidden="false" customHeight="false" outlineLevel="0" collapsed="false">
      <c r="A129" s="11" t="s">
        <v>909</v>
      </c>
      <c r="B129" s="12" t="s">
        <v>910</v>
      </c>
      <c r="C129" s="12" t="s">
        <v>911</v>
      </c>
      <c r="D129" s="12" t="s">
        <v>912</v>
      </c>
      <c r="E129" s="12" t="s">
        <v>913</v>
      </c>
      <c r="F129" s="12" t="s">
        <v>914</v>
      </c>
      <c r="G129" s="12" t="s">
        <v>915</v>
      </c>
      <c r="H129" s="12"/>
      <c r="I129" s="14" t="b">
        <f aca="false">IF(Lookup!$B$3="",FALSE(),ISNUMBER(SEARCH(Lookup!$B$3,A129&amp;" "&amp;B129&amp;" "&amp;D129&amp;" "&amp;E129&amp;" "&amp;F129)))</f>
        <v>0</v>
      </c>
      <c r="J129" s="0" t="str">
        <f aca="false">IF(I129,COUNTIF($I$2:I129,TRUE()),"")</f>
        <v/>
      </c>
    </row>
    <row r="130" customFormat="false" ht="28.35" hidden="false" customHeight="false" outlineLevel="0" collapsed="false">
      <c r="A130" s="11" t="s">
        <v>916</v>
      </c>
      <c r="B130" s="12" t="s">
        <v>917</v>
      </c>
      <c r="C130" s="12" t="s">
        <v>918</v>
      </c>
      <c r="D130" s="12" t="s">
        <v>919</v>
      </c>
      <c r="E130" s="12" t="s">
        <v>920</v>
      </c>
      <c r="F130" s="12" t="s">
        <v>921</v>
      </c>
      <c r="G130" s="12" t="s">
        <v>922</v>
      </c>
      <c r="H130" s="12" t="s">
        <v>923</v>
      </c>
      <c r="I130" s="14" t="b">
        <f aca="false">IF(Lookup!$B$3="",FALSE(),ISNUMBER(SEARCH(Lookup!$B$3,A130&amp;" "&amp;B130&amp;" "&amp;D130&amp;" "&amp;E130&amp;" "&amp;F130)))</f>
        <v>0</v>
      </c>
      <c r="J130" s="0" t="str">
        <f aca="false">IF(I130,COUNTIF($I$2:I130,TRUE()),"")</f>
        <v/>
      </c>
    </row>
    <row r="131" customFormat="false" ht="28.35" hidden="false" customHeight="false" outlineLevel="0" collapsed="false">
      <c r="A131" s="11" t="s">
        <v>924</v>
      </c>
      <c r="B131" s="12" t="s">
        <v>261</v>
      </c>
      <c r="C131" s="12" t="s">
        <v>925</v>
      </c>
      <c r="D131" s="12" t="s">
        <v>926</v>
      </c>
      <c r="E131" s="12" t="s">
        <v>927</v>
      </c>
      <c r="F131" s="12" t="s">
        <v>928</v>
      </c>
      <c r="G131" s="12" t="s">
        <v>929</v>
      </c>
      <c r="H131" s="12" t="s">
        <v>930</v>
      </c>
      <c r="I131" s="14" t="b">
        <f aca="false">IF(Lookup!$B$3="",FALSE(),ISNUMBER(SEARCH(Lookup!$B$3,A131&amp;" "&amp;B131&amp;" "&amp;D131&amp;" "&amp;E131&amp;" "&amp;F131)))</f>
        <v>0</v>
      </c>
      <c r="J131" s="0" t="str">
        <f aca="false">IF(I131,COUNTIF($I$2:I131,TRUE()),"")</f>
        <v/>
      </c>
    </row>
    <row r="132" customFormat="false" ht="15" hidden="false" customHeight="false" outlineLevel="0" collapsed="false">
      <c r="A132" s="11" t="s">
        <v>931</v>
      </c>
      <c r="B132" s="12" t="s">
        <v>363</v>
      </c>
      <c r="C132" s="12" t="s">
        <v>932</v>
      </c>
      <c r="D132" s="12" t="s">
        <v>933</v>
      </c>
      <c r="E132" s="12" t="s">
        <v>934</v>
      </c>
      <c r="F132" s="12" t="s">
        <v>935</v>
      </c>
      <c r="G132" s="12" t="s">
        <v>936</v>
      </c>
      <c r="H132" s="12"/>
      <c r="I132" s="14" t="b">
        <f aca="false">IF(Lookup!$B$3="",FALSE(),ISNUMBER(SEARCH(Lookup!$B$3,A132&amp;" "&amp;B132&amp;" "&amp;D132&amp;" "&amp;E132&amp;" "&amp;F132)))</f>
        <v>0</v>
      </c>
      <c r="J132" s="0" t="str">
        <f aca="false">IF(I132,COUNTIF($I$2:I132,TRUE()),"")</f>
        <v/>
      </c>
    </row>
    <row r="133" customFormat="false" ht="15" hidden="false" customHeight="false" outlineLevel="0" collapsed="false">
      <c r="A133" s="11" t="s">
        <v>937</v>
      </c>
      <c r="B133" s="12" t="s">
        <v>385</v>
      </c>
      <c r="C133" s="12" t="s">
        <v>938</v>
      </c>
      <c r="D133" s="12" t="s">
        <v>939</v>
      </c>
      <c r="E133" s="12" t="s">
        <v>940</v>
      </c>
      <c r="F133" s="12" t="s">
        <v>941</v>
      </c>
      <c r="G133" s="12" t="s">
        <v>942</v>
      </c>
      <c r="H133" s="12"/>
      <c r="I133" s="14" t="b">
        <f aca="false">IF(Lookup!$B$3="",FALSE(),ISNUMBER(SEARCH(Lookup!$B$3,A133&amp;" "&amp;B133&amp;" "&amp;D133&amp;" "&amp;E133&amp;" "&amp;F133)))</f>
        <v>0</v>
      </c>
      <c r="J133" s="0" t="str">
        <f aca="false">IF(I133,COUNTIF($I$2:I133,TRUE()),"")</f>
        <v/>
      </c>
    </row>
    <row r="134" customFormat="false" ht="28.35" hidden="false" customHeight="false" outlineLevel="0" collapsed="false">
      <c r="A134" s="11" t="s">
        <v>943</v>
      </c>
      <c r="B134" s="12" t="s">
        <v>944</v>
      </c>
      <c r="C134" s="12" t="s">
        <v>945</v>
      </c>
      <c r="D134" s="12" t="s">
        <v>946</v>
      </c>
      <c r="E134" s="12" t="s">
        <v>947</v>
      </c>
      <c r="F134" s="12" t="s">
        <v>948</v>
      </c>
      <c r="G134" s="12" t="s">
        <v>949</v>
      </c>
      <c r="H134" s="12" t="s">
        <v>950</v>
      </c>
      <c r="I134" s="14" t="b">
        <f aca="false">IF(Lookup!$B$3="",FALSE(),ISNUMBER(SEARCH(Lookup!$B$3,A134&amp;" "&amp;B134&amp;" "&amp;D134&amp;" "&amp;E134&amp;" "&amp;F134)))</f>
        <v>0</v>
      </c>
      <c r="J134" s="0" t="str">
        <f aca="false">IF(I134,COUNTIF($I$2:I134,TRUE()),"")</f>
        <v/>
      </c>
    </row>
    <row r="135" customFormat="false" ht="28.35" hidden="false" customHeight="false" outlineLevel="0" collapsed="false">
      <c r="A135" s="11" t="s">
        <v>951</v>
      </c>
      <c r="B135" s="12" t="s">
        <v>239</v>
      </c>
      <c r="C135" s="12" t="s">
        <v>952</v>
      </c>
      <c r="D135" s="12" t="s">
        <v>953</v>
      </c>
      <c r="E135" s="12" t="s">
        <v>954</v>
      </c>
      <c r="F135" s="12" t="s">
        <v>955</v>
      </c>
      <c r="G135" s="12" t="s">
        <v>956</v>
      </c>
      <c r="H135" s="12"/>
      <c r="I135" s="14" t="b">
        <f aca="false">IF(Lookup!$B$3="",FALSE(),ISNUMBER(SEARCH(Lookup!$B$3,A135&amp;" "&amp;B135&amp;" "&amp;D135&amp;" "&amp;E135&amp;" "&amp;F135)))</f>
        <v>0</v>
      </c>
      <c r="J135" s="0" t="str">
        <f aca="false">IF(I135,COUNTIF($I$2:I135,TRUE()),"")</f>
        <v/>
      </c>
    </row>
    <row r="136" customFormat="false" ht="15" hidden="false" customHeight="false" outlineLevel="0" collapsed="false">
      <c r="A136" s="11" t="s">
        <v>957</v>
      </c>
      <c r="B136" s="12" t="s">
        <v>958</v>
      </c>
      <c r="C136" s="12" t="s">
        <v>932</v>
      </c>
      <c r="D136" s="12" t="s">
        <v>959</v>
      </c>
      <c r="E136" s="12" t="s">
        <v>960</v>
      </c>
      <c r="F136" s="12" t="s">
        <v>961</v>
      </c>
      <c r="G136" s="12" t="s">
        <v>962</v>
      </c>
      <c r="H136" s="12"/>
      <c r="I136" s="14" t="b">
        <f aca="false">IF(Lookup!$B$3="",FALSE(),ISNUMBER(SEARCH(Lookup!$B$3,A136&amp;" "&amp;B136&amp;" "&amp;D136&amp;" "&amp;E136&amp;" "&amp;F136)))</f>
        <v>0</v>
      </c>
      <c r="J136" s="0" t="str">
        <f aca="false">IF(I136,COUNTIF($I$2:I136,TRUE()),"")</f>
        <v/>
      </c>
    </row>
    <row r="137" customFormat="false" ht="15" hidden="false" customHeight="false" outlineLevel="0" collapsed="false">
      <c r="A137" s="11" t="s">
        <v>963</v>
      </c>
      <c r="B137" s="12" t="s">
        <v>964</v>
      </c>
      <c r="C137" s="12" t="s">
        <v>965</v>
      </c>
      <c r="D137" s="12" t="s">
        <v>966</v>
      </c>
      <c r="E137" s="12" t="s">
        <v>967</v>
      </c>
      <c r="F137" s="12" t="s">
        <v>968</v>
      </c>
      <c r="G137" s="12" t="s">
        <v>969</v>
      </c>
      <c r="H137" s="12" t="s">
        <v>970</v>
      </c>
      <c r="I137" s="14" t="b">
        <f aca="false">IF(Lookup!$B$3="",FALSE(),ISNUMBER(SEARCH(Lookup!$B$3,A137&amp;" "&amp;B137&amp;" "&amp;D137&amp;" "&amp;E137&amp;" "&amp;F137)))</f>
        <v>0</v>
      </c>
      <c r="J137" s="0" t="str">
        <f aca="false">IF(I137,COUNTIF($I$2:I137,TRUE()),"")</f>
        <v/>
      </c>
    </row>
    <row r="138" customFormat="false" ht="15" hidden="false" customHeight="false" outlineLevel="0" collapsed="false">
      <c r="A138" s="11" t="s">
        <v>971</v>
      </c>
      <c r="B138" s="12" t="s">
        <v>503</v>
      </c>
      <c r="C138" s="12" t="s">
        <v>972</v>
      </c>
      <c r="D138" s="12" t="s">
        <v>973</v>
      </c>
      <c r="E138" s="12" t="s">
        <v>974</v>
      </c>
      <c r="F138" s="12" t="s">
        <v>975</v>
      </c>
      <c r="G138" s="12" t="s">
        <v>976</v>
      </c>
      <c r="H138" s="12" t="s">
        <v>84</v>
      </c>
      <c r="I138" s="14" t="b">
        <f aca="false">IF(Lookup!$B$3="",FALSE(),ISNUMBER(SEARCH(Lookup!$B$3,A138&amp;" "&amp;B138&amp;" "&amp;D138&amp;" "&amp;E138&amp;" "&amp;F138)))</f>
        <v>0</v>
      </c>
      <c r="J138" s="0" t="str">
        <f aca="false">IF(I138,COUNTIF($I$2:I138,TRUE()),"")</f>
        <v/>
      </c>
    </row>
    <row r="139" customFormat="false" ht="15" hidden="false" customHeight="false" outlineLevel="0" collapsed="false">
      <c r="A139" s="11" t="s">
        <v>977</v>
      </c>
      <c r="B139" s="12" t="s">
        <v>978</v>
      </c>
      <c r="C139" s="12" t="s">
        <v>176</v>
      </c>
      <c r="D139" s="12" t="s">
        <v>979</v>
      </c>
      <c r="E139" s="12" t="s">
        <v>980</v>
      </c>
      <c r="F139" s="12" t="s">
        <v>981</v>
      </c>
      <c r="G139" s="12" t="s">
        <v>982</v>
      </c>
      <c r="H139" s="12" t="s">
        <v>983</v>
      </c>
      <c r="I139" s="14" t="b">
        <f aca="false">IF(Lookup!$B$3="",FALSE(),ISNUMBER(SEARCH(Lookup!$B$3,A139&amp;" "&amp;B139&amp;" "&amp;D139&amp;" "&amp;E139&amp;" "&amp;F139)))</f>
        <v>0</v>
      </c>
      <c r="J139" s="0" t="str">
        <f aca="false">IF(I139,COUNTIF($I$2:I139,TRUE()),"")</f>
        <v/>
      </c>
    </row>
    <row r="140" customFormat="false" ht="28.35" hidden="false" customHeight="false" outlineLevel="0" collapsed="false">
      <c r="A140" s="11" t="s">
        <v>984</v>
      </c>
      <c r="B140" s="12" t="s">
        <v>985</v>
      </c>
      <c r="C140" s="12" t="s">
        <v>986</v>
      </c>
      <c r="D140" s="12" t="s">
        <v>987</v>
      </c>
      <c r="E140" s="12" t="s">
        <v>988</v>
      </c>
      <c r="F140" s="12" t="s">
        <v>988</v>
      </c>
      <c r="G140" s="12" t="s">
        <v>989</v>
      </c>
      <c r="H140" s="12"/>
      <c r="I140" s="14" t="b">
        <f aca="false">IF(Lookup!$B$3="",FALSE(),ISNUMBER(SEARCH(Lookup!$B$3,A140&amp;" "&amp;B140&amp;" "&amp;D140&amp;" "&amp;E140&amp;" "&amp;F140)))</f>
        <v>0</v>
      </c>
      <c r="J140" s="0" t="str">
        <f aca="false">IF(I140,COUNTIF($I$2:I140,TRUE()),"")</f>
        <v/>
      </c>
    </row>
    <row r="141" customFormat="false" ht="28.35" hidden="false" customHeight="false" outlineLevel="0" collapsed="false">
      <c r="A141" s="11" t="s">
        <v>990</v>
      </c>
      <c r="B141" s="12" t="s">
        <v>594</v>
      </c>
      <c r="C141" s="12" t="s">
        <v>332</v>
      </c>
      <c r="D141" s="12" t="s">
        <v>991</v>
      </c>
      <c r="E141" s="12" t="s">
        <v>992</v>
      </c>
      <c r="F141" s="12" t="s">
        <v>993</v>
      </c>
      <c r="G141" s="12" t="s">
        <v>994</v>
      </c>
      <c r="H141" s="12" t="s">
        <v>995</v>
      </c>
      <c r="I141" s="14" t="b">
        <f aca="false">IF(Lookup!$B$3="",FALSE(),ISNUMBER(SEARCH(Lookup!$B$3,A141&amp;" "&amp;B141&amp;" "&amp;D141&amp;" "&amp;E141&amp;" "&amp;F141)))</f>
        <v>0</v>
      </c>
      <c r="J141" s="0" t="str">
        <f aca="false">IF(I141,COUNTIF($I$2:I141,TRUE()),"")</f>
        <v/>
      </c>
    </row>
    <row r="142" customFormat="false" ht="28.35" hidden="false" customHeight="false" outlineLevel="0" collapsed="false">
      <c r="A142" s="11" t="s">
        <v>996</v>
      </c>
      <c r="B142" s="12" t="s">
        <v>997</v>
      </c>
      <c r="C142" s="12" t="s">
        <v>998</v>
      </c>
      <c r="D142" s="12" t="s">
        <v>999</v>
      </c>
      <c r="E142" s="12" t="s">
        <v>1000</v>
      </c>
      <c r="F142" s="12" t="s">
        <v>1001</v>
      </c>
      <c r="G142" s="12" t="s">
        <v>1002</v>
      </c>
      <c r="H142" s="12" t="s">
        <v>1003</v>
      </c>
      <c r="I142" s="14" t="b">
        <f aca="false">IF(Lookup!$B$3="",FALSE(),ISNUMBER(SEARCH(Lookup!$B$3,A142&amp;" "&amp;B142&amp;" "&amp;D142&amp;" "&amp;E142&amp;" "&amp;F142)))</f>
        <v>0</v>
      </c>
      <c r="J142" s="0" t="str">
        <f aca="false">IF(I142,COUNTIF($I$2:I142,TRUE()),"")</f>
        <v/>
      </c>
    </row>
    <row r="143" customFormat="false" ht="28.35" hidden="false" customHeight="false" outlineLevel="0" collapsed="false">
      <c r="A143" s="11" t="s">
        <v>1004</v>
      </c>
      <c r="B143" s="12" t="s">
        <v>1005</v>
      </c>
      <c r="C143" s="12" t="s">
        <v>1006</v>
      </c>
      <c r="D143" s="12" t="s">
        <v>1007</v>
      </c>
      <c r="E143" s="12" t="s">
        <v>1008</v>
      </c>
      <c r="F143" s="12" t="s">
        <v>1009</v>
      </c>
      <c r="G143" s="12" t="s">
        <v>1010</v>
      </c>
      <c r="H143" s="12" t="s">
        <v>1011</v>
      </c>
      <c r="I143" s="14" t="b">
        <f aca="false">IF(Lookup!$B$3="",FALSE(),ISNUMBER(SEARCH(Lookup!$B$3,A143&amp;" "&amp;B143&amp;" "&amp;D143&amp;" "&amp;E143&amp;" "&amp;F143)))</f>
        <v>0</v>
      </c>
      <c r="J143" s="0" t="str">
        <f aca="false">IF(I143,COUNTIF($I$2:I143,TRUE()),"")</f>
        <v/>
      </c>
    </row>
    <row r="144" customFormat="false" ht="15" hidden="false" customHeight="false" outlineLevel="0" collapsed="false">
      <c r="A144" s="11" t="s">
        <v>1012</v>
      </c>
      <c r="B144" s="12" t="s">
        <v>1013</v>
      </c>
      <c r="C144" s="12" t="s">
        <v>1014</v>
      </c>
      <c r="D144" s="12" t="s">
        <v>1015</v>
      </c>
      <c r="E144" s="12" t="s">
        <v>1016</v>
      </c>
      <c r="F144" s="12" t="s">
        <v>1017</v>
      </c>
      <c r="G144" s="12" t="s">
        <v>1018</v>
      </c>
      <c r="H144" s="12" t="s">
        <v>196</v>
      </c>
      <c r="I144" s="14" t="b">
        <f aca="false">IF(Lookup!$B$3="",FALSE(),ISNUMBER(SEARCH(Lookup!$B$3,A144&amp;" "&amp;B144&amp;" "&amp;D144&amp;" "&amp;E144&amp;" "&amp;F144)))</f>
        <v>0</v>
      </c>
      <c r="J144" s="0" t="str">
        <f aca="false">IF(I144,COUNTIF($I$2:I144,TRUE()),"")</f>
        <v/>
      </c>
    </row>
    <row r="145" customFormat="false" ht="15" hidden="false" customHeight="false" outlineLevel="0" collapsed="false">
      <c r="A145" s="11" t="s">
        <v>1019</v>
      </c>
      <c r="B145" s="12" t="s">
        <v>489</v>
      </c>
      <c r="C145" s="12" t="s">
        <v>1020</v>
      </c>
      <c r="D145" s="12" t="s">
        <v>1021</v>
      </c>
      <c r="E145" s="12" t="s">
        <v>1022</v>
      </c>
      <c r="F145" s="12" t="s">
        <v>1023</v>
      </c>
      <c r="G145" s="12" t="s">
        <v>1024</v>
      </c>
      <c r="H145" s="12"/>
      <c r="I145" s="14" t="b">
        <f aca="false">IF(Lookup!$B$3="",FALSE(),ISNUMBER(SEARCH(Lookup!$B$3,A145&amp;" "&amp;B145&amp;" "&amp;D145&amp;" "&amp;E145&amp;" "&amp;F145)))</f>
        <v>0</v>
      </c>
      <c r="J145" s="0" t="str">
        <f aca="false">IF(I145,COUNTIF($I$2:I145,TRUE()),"")</f>
        <v/>
      </c>
    </row>
    <row r="146" customFormat="false" ht="15" hidden="false" customHeight="false" outlineLevel="0" collapsed="false">
      <c r="A146" s="11" t="s">
        <v>541</v>
      </c>
      <c r="B146" s="12" t="s">
        <v>1025</v>
      </c>
      <c r="C146" s="12" t="s">
        <v>1026</v>
      </c>
      <c r="D146" s="12" t="s">
        <v>1027</v>
      </c>
      <c r="E146" s="12" t="s">
        <v>1028</v>
      </c>
      <c r="F146" s="12" t="s">
        <v>1029</v>
      </c>
      <c r="G146" s="12" t="s">
        <v>1030</v>
      </c>
      <c r="H146" s="12"/>
      <c r="I146" s="14" t="b">
        <f aca="false">IF(Lookup!$B$3="",FALSE(),ISNUMBER(SEARCH(Lookup!$B$3,A146&amp;" "&amp;B146&amp;" "&amp;D146&amp;" "&amp;E146&amp;" "&amp;F146)))</f>
        <v>0</v>
      </c>
      <c r="J146" s="0" t="str">
        <f aca="false">IF(I146,COUNTIF($I$2:I146,TRUE()),"")</f>
        <v/>
      </c>
    </row>
    <row r="147" customFormat="false" ht="15" hidden="false" customHeight="false" outlineLevel="0" collapsed="false">
      <c r="A147" s="11" t="s">
        <v>1031</v>
      </c>
      <c r="B147" s="12" t="s">
        <v>175</v>
      </c>
      <c r="C147" s="12" t="s">
        <v>1032</v>
      </c>
      <c r="D147" s="12" t="s">
        <v>1033</v>
      </c>
      <c r="E147" s="12" t="s">
        <v>1034</v>
      </c>
      <c r="F147" s="12" t="s">
        <v>1035</v>
      </c>
      <c r="G147" s="12" t="s">
        <v>1036</v>
      </c>
      <c r="H147" s="12"/>
      <c r="I147" s="14" t="b">
        <f aca="false">IF(Lookup!$B$3="",FALSE(),ISNUMBER(SEARCH(Lookup!$B$3,A147&amp;" "&amp;B147&amp;" "&amp;D147&amp;" "&amp;E147&amp;" "&amp;F147)))</f>
        <v>0</v>
      </c>
      <c r="J147" s="0" t="str">
        <f aca="false">IF(I147,COUNTIF($I$2:I147,TRUE()),"")</f>
        <v/>
      </c>
    </row>
    <row r="148" customFormat="false" ht="28.35" hidden="false" customHeight="false" outlineLevel="0" collapsed="false">
      <c r="A148" s="11" t="s">
        <v>1037</v>
      </c>
      <c r="B148" s="12" t="s">
        <v>1038</v>
      </c>
      <c r="C148" s="12" t="s">
        <v>1039</v>
      </c>
      <c r="D148" s="12" t="s">
        <v>1040</v>
      </c>
      <c r="E148" s="12" t="s">
        <v>1041</v>
      </c>
      <c r="F148" s="12" t="s">
        <v>1042</v>
      </c>
      <c r="G148" s="12" t="s">
        <v>1043</v>
      </c>
      <c r="H148" s="12"/>
      <c r="I148" s="14" t="b">
        <f aca="false">IF(Lookup!$B$3="",FALSE(),ISNUMBER(SEARCH(Lookup!$B$3,A148&amp;" "&amp;B148&amp;" "&amp;D148&amp;" "&amp;E148&amp;" "&amp;F148)))</f>
        <v>0</v>
      </c>
      <c r="J148" s="0" t="str">
        <f aca="false">IF(I148,COUNTIF($I$2:I148,TRUE()),"")</f>
        <v/>
      </c>
    </row>
    <row r="149" customFormat="false" ht="28.35" hidden="false" customHeight="false" outlineLevel="0" collapsed="false">
      <c r="A149" s="11" t="s">
        <v>1044</v>
      </c>
      <c r="B149" s="12" t="s">
        <v>1045</v>
      </c>
      <c r="C149" s="12" t="s">
        <v>1046</v>
      </c>
      <c r="D149" s="12" t="s">
        <v>1047</v>
      </c>
      <c r="E149" s="12" t="s">
        <v>1048</v>
      </c>
      <c r="F149" s="12" t="s">
        <v>1049</v>
      </c>
      <c r="G149" s="12" t="s">
        <v>1050</v>
      </c>
      <c r="H149" s="12" t="s">
        <v>1051</v>
      </c>
      <c r="I149" s="14" t="b">
        <f aca="false">IF(Lookup!$B$3="",FALSE(),ISNUMBER(SEARCH(Lookup!$B$3,A149&amp;" "&amp;B149&amp;" "&amp;D149&amp;" "&amp;E149&amp;" "&amp;F149)))</f>
        <v>0</v>
      </c>
      <c r="J149" s="0" t="str">
        <f aca="false">IF(I149,COUNTIF($I$2:I149,TRUE()),"")</f>
        <v/>
      </c>
    </row>
    <row r="150" customFormat="false" ht="15" hidden="false" customHeight="false" outlineLevel="0" collapsed="false">
      <c r="A150" s="11" t="s">
        <v>1052</v>
      </c>
      <c r="B150" s="12" t="s">
        <v>1053</v>
      </c>
      <c r="C150" s="12" t="s">
        <v>1054</v>
      </c>
      <c r="D150" s="12" t="s">
        <v>1055</v>
      </c>
      <c r="E150" s="12" t="s">
        <v>1056</v>
      </c>
      <c r="F150" s="12" t="s">
        <v>1057</v>
      </c>
      <c r="G150" s="12" t="s">
        <v>1058</v>
      </c>
      <c r="H150" s="12" t="s">
        <v>1059</v>
      </c>
      <c r="I150" s="14" t="b">
        <f aca="false">IF(Lookup!$B$3="",FALSE(),ISNUMBER(SEARCH(Lookup!$B$3,A150&amp;" "&amp;B150&amp;" "&amp;D150&amp;" "&amp;E150&amp;" "&amp;F150)))</f>
        <v>0</v>
      </c>
      <c r="J150" s="0" t="str">
        <f aca="false">IF(I150,COUNTIF($I$2:I150,TRUE()),"")</f>
        <v/>
      </c>
    </row>
    <row r="151" customFormat="false" ht="28.35" hidden="false" customHeight="false" outlineLevel="0" collapsed="false">
      <c r="A151" s="11" t="s">
        <v>1060</v>
      </c>
      <c r="B151" s="12" t="s">
        <v>1061</v>
      </c>
      <c r="C151" s="12" t="s">
        <v>1062</v>
      </c>
      <c r="D151" s="12" t="s">
        <v>1063</v>
      </c>
      <c r="E151" s="12" t="s">
        <v>1064</v>
      </c>
      <c r="F151" s="12" t="s">
        <v>1065</v>
      </c>
      <c r="G151" s="12" t="s">
        <v>1066</v>
      </c>
      <c r="H151" s="12"/>
      <c r="I151" s="14" t="b">
        <f aca="false">IF(Lookup!$B$3="",FALSE(),ISNUMBER(SEARCH(Lookup!$B$3,A151&amp;" "&amp;B151&amp;" "&amp;D151&amp;" "&amp;E151&amp;" "&amp;F151)))</f>
        <v>0</v>
      </c>
      <c r="J151" s="0" t="str">
        <f aca="false">IF(I151,COUNTIF($I$2:I151,TRUE()),"")</f>
        <v/>
      </c>
    </row>
    <row r="152" customFormat="false" ht="15" hidden="false" customHeight="false" outlineLevel="0" collapsed="false">
      <c r="A152" s="11" t="s">
        <v>1067</v>
      </c>
      <c r="B152" s="12" t="s">
        <v>1068</v>
      </c>
      <c r="C152" s="12" t="s">
        <v>1069</v>
      </c>
      <c r="D152" s="12" t="s">
        <v>1070</v>
      </c>
      <c r="E152" s="12" t="s">
        <v>1071</v>
      </c>
      <c r="F152" s="12" t="s">
        <v>1072</v>
      </c>
      <c r="G152" s="12" t="s">
        <v>1073</v>
      </c>
      <c r="H152" s="12" t="s">
        <v>1074</v>
      </c>
      <c r="I152" s="14" t="b">
        <f aca="false">IF(Lookup!$B$3="",FALSE(),ISNUMBER(SEARCH(Lookup!$B$3,A152&amp;" "&amp;B152&amp;" "&amp;D152&amp;" "&amp;E152&amp;" "&amp;F152)))</f>
        <v>0</v>
      </c>
      <c r="J152" s="0" t="str">
        <f aca="false">IF(I152,COUNTIF($I$2:I152,TRUE()),"")</f>
        <v/>
      </c>
    </row>
    <row r="153" customFormat="false" ht="28.35" hidden="false" customHeight="false" outlineLevel="0" collapsed="false">
      <c r="A153" s="11" t="s">
        <v>1075</v>
      </c>
      <c r="B153" s="12" t="s">
        <v>385</v>
      </c>
      <c r="C153" s="12" t="s">
        <v>1076</v>
      </c>
      <c r="D153" s="12" t="s">
        <v>937</v>
      </c>
      <c r="E153" s="12" t="s">
        <v>1077</v>
      </c>
      <c r="F153" s="12" t="s">
        <v>1078</v>
      </c>
      <c r="G153" s="12" t="s">
        <v>1079</v>
      </c>
      <c r="H153" s="12"/>
      <c r="I153" s="14" t="b">
        <f aca="false">IF(Lookup!$B$3="",FALSE(),ISNUMBER(SEARCH(Lookup!$B$3,A153&amp;" "&amp;B153&amp;" "&amp;D153&amp;" "&amp;E153&amp;" "&amp;F153)))</f>
        <v>0</v>
      </c>
      <c r="J153" s="0" t="str">
        <f aca="false">IF(I153,COUNTIF($I$2:I153,TRUE()),"")</f>
        <v/>
      </c>
    </row>
    <row r="154" customFormat="false" ht="15" hidden="false" customHeight="false" outlineLevel="0" collapsed="false">
      <c r="A154" s="11" t="s">
        <v>1080</v>
      </c>
      <c r="B154" s="12" t="s">
        <v>1081</v>
      </c>
      <c r="C154" s="12" t="s">
        <v>1082</v>
      </c>
      <c r="D154" s="12" t="s">
        <v>1083</v>
      </c>
      <c r="E154" s="12" t="s">
        <v>1084</v>
      </c>
      <c r="F154" s="12" t="s">
        <v>1085</v>
      </c>
      <c r="G154" s="12" t="s">
        <v>1086</v>
      </c>
      <c r="H154" s="12"/>
      <c r="I154" s="14" t="b">
        <f aca="false">IF(Lookup!$B$3="",FALSE(),ISNUMBER(SEARCH(Lookup!$B$3,A154&amp;" "&amp;B154&amp;" "&amp;D154&amp;" "&amp;E154&amp;" "&amp;F154)))</f>
        <v>0</v>
      </c>
      <c r="J154" s="0" t="str">
        <f aca="false">IF(I154,COUNTIF($I$2:I154,TRUE()),"")</f>
        <v/>
      </c>
    </row>
    <row r="155" customFormat="false" ht="15" hidden="false" customHeight="false" outlineLevel="0" collapsed="false">
      <c r="A155" s="11" t="s">
        <v>1087</v>
      </c>
      <c r="B155" s="12" t="s">
        <v>688</v>
      </c>
      <c r="C155" s="12" t="s">
        <v>1088</v>
      </c>
      <c r="D155" s="12" t="s">
        <v>1089</v>
      </c>
      <c r="E155" s="12" t="s">
        <v>1090</v>
      </c>
      <c r="F155" s="12" t="s">
        <v>1091</v>
      </c>
      <c r="G155" s="12" t="s">
        <v>1092</v>
      </c>
      <c r="H155" s="12"/>
      <c r="I155" s="14" t="b">
        <f aca="false">IF(Lookup!$B$3="",FALSE(),ISNUMBER(SEARCH(Lookup!$B$3,A155&amp;" "&amp;B155&amp;" "&amp;D155&amp;" "&amp;E155&amp;" "&amp;F155)))</f>
        <v>0</v>
      </c>
      <c r="J155" s="0" t="str">
        <f aca="false">IF(I155,COUNTIF($I$2:I155,TRUE()),"")</f>
        <v/>
      </c>
    </row>
    <row r="156" customFormat="false" ht="15" hidden="false" customHeight="false" outlineLevel="0" collapsed="false">
      <c r="A156" s="11" t="s">
        <v>1093</v>
      </c>
      <c r="B156" s="12" t="s">
        <v>1094</v>
      </c>
      <c r="C156" s="12" t="s">
        <v>1095</v>
      </c>
      <c r="D156" s="12" t="s">
        <v>1096</v>
      </c>
      <c r="E156" s="12" t="s">
        <v>1097</v>
      </c>
      <c r="F156" s="12" t="s">
        <v>1098</v>
      </c>
      <c r="G156" s="12" t="s">
        <v>1099</v>
      </c>
      <c r="H156" s="12" t="s">
        <v>1100</v>
      </c>
      <c r="I156" s="14" t="b">
        <f aca="false">IF(Lookup!$B$3="",FALSE(),ISNUMBER(SEARCH(Lookup!$B$3,A156&amp;" "&amp;B156&amp;" "&amp;D156&amp;" "&amp;E156&amp;" "&amp;F156)))</f>
        <v>0</v>
      </c>
      <c r="J156" s="0" t="str">
        <f aca="false">IF(I156,COUNTIF($I$2:I156,TRUE()),"")</f>
        <v/>
      </c>
    </row>
    <row r="157" customFormat="false" ht="15" hidden="false" customHeight="false" outlineLevel="0" collapsed="false">
      <c r="A157" s="11" t="s">
        <v>1101</v>
      </c>
      <c r="B157" s="12" t="s">
        <v>1102</v>
      </c>
      <c r="C157" s="12" t="s">
        <v>1103</v>
      </c>
      <c r="D157" s="12" t="s">
        <v>1104</v>
      </c>
      <c r="E157" s="12" t="s">
        <v>1105</v>
      </c>
      <c r="F157" s="12" t="s">
        <v>1106</v>
      </c>
      <c r="G157" s="12" t="s">
        <v>1107</v>
      </c>
      <c r="H157" s="12"/>
      <c r="I157" s="14" t="b">
        <f aca="false">IF(Lookup!$B$3="",FALSE(),ISNUMBER(SEARCH(Lookup!$B$3,A157&amp;" "&amp;B157&amp;" "&amp;D157&amp;" "&amp;E157&amp;" "&amp;F157)))</f>
        <v>0</v>
      </c>
      <c r="J157" s="0" t="str">
        <f aca="false">IF(I157,COUNTIF($I$2:I157,TRUE()),"")</f>
        <v/>
      </c>
    </row>
    <row r="158" customFormat="false" ht="15" hidden="false" customHeight="false" outlineLevel="0" collapsed="false">
      <c r="A158" s="11" t="s">
        <v>1108</v>
      </c>
      <c r="B158" s="12" t="s">
        <v>510</v>
      </c>
      <c r="C158" s="12" t="s">
        <v>1109</v>
      </c>
      <c r="D158" s="12" t="s">
        <v>1110</v>
      </c>
      <c r="E158" s="12" t="s">
        <v>1111</v>
      </c>
      <c r="F158" s="12" t="s">
        <v>1112</v>
      </c>
      <c r="G158" s="12" t="s">
        <v>1113</v>
      </c>
      <c r="H158" s="12"/>
      <c r="I158" s="14" t="b">
        <f aca="false">IF(Lookup!$B$3="",FALSE(),ISNUMBER(SEARCH(Lookup!$B$3,A158&amp;" "&amp;B158&amp;" "&amp;D158&amp;" "&amp;E158&amp;" "&amp;F158)))</f>
        <v>0</v>
      </c>
      <c r="J158" s="0" t="str">
        <f aca="false">IF(I158,COUNTIF($I$2:I158,TRUE()),"")</f>
        <v/>
      </c>
    </row>
    <row r="159" customFormat="false" ht="15" hidden="false" customHeight="false" outlineLevel="0" collapsed="false">
      <c r="A159" s="11" t="s">
        <v>1114</v>
      </c>
      <c r="B159" s="12" t="s">
        <v>1115</v>
      </c>
      <c r="C159" s="12" t="s">
        <v>1116</v>
      </c>
      <c r="D159" s="12" t="s">
        <v>1117</v>
      </c>
      <c r="E159" s="12" t="s">
        <v>1118</v>
      </c>
      <c r="F159" s="12" t="s">
        <v>1119</v>
      </c>
      <c r="G159" s="12" t="s">
        <v>1120</v>
      </c>
      <c r="H159" s="12"/>
      <c r="I159" s="14" t="b">
        <f aca="false">IF(Lookup!$B$3="",FALSE(),ISNUMBER(SEARCH(Lookup!$B$3,A159&amp;" "&amp;B159&amp;" "&amp;D159&amp;" "&amp;E159&amp;" "&amp;F159)))</f>
        <v>0</v>
      </c>
      <c r="J159" s="0" t="str">
        <f aca="false">IF(I159,COUNTIF($I$2:I159,TRUE()),"")</f>
        <v/>
      </c>
    </row>
    <row r="160" customFormat="false" ht="15" hidden="false" customHeight="false" outlineLevel="0" collapsed="false">
      <c r="A160" s="11" t="s">
        <v>1121</v>
      </c>
      <c r="B160" s="12" t="s">
        <v>107</v>
      </c>
      <c r="C160" s="12" t="s">
        <v>1122</v>
      </c>
      <c r="D160" s="12" t="s">
        <v>1123</v>
      </c>
      <c r="E160" s="12" t="s">
        <v>1124</v>
      </c>
      <c r="F160" s="12" t="s">
        <v>1125</v>
      </c>
      <c r="G160" s="12" t="s">
        <v>1126</v>
      </c>
      <c r="H160" s="12"/>
      <c r="I160" s="14" t="b">
        <f aca="false">IF(Lookup!$B$3="",FALSE(),ISNUMBER(SEARCH(Lookup!$B$3,A160&amp;" "&amp;B160&amp;" "&amp;D160&amp;" "&amp;E160&amp;" "&amp;F160)))</f>
        <v>0</v>
      </c>
      <c r="J160" s="0" t="str">
        <f aca="false">IF(I160,COUNTIF($I$2:I160,TRUE()),"")</f>
        <v/>
      </c>
    </row>
    <row r="161" customFormat="false" ht="15" hidden="false" customHeight="false" outlineLevel="0" collapsed="false">
      <c r="A161" s="11" t="s">
        <v>1127</v>
      </c>
      <c r="B161" s="12" t="s">
        <v>1128</v>
      </c>
      <c r="C161" s="12" t="s">
        <v>1129</v>
      </c>
      <c r="D161" s="12" t="s">
        <v>1130</v>
      </c>
      <c r="E161" s="12" t="s">
        <v>1131</v>
      </c>
      <c r="F161" s="12" t="s">
        <v>1132</v>
      </c>
      <c r="G161" s="12" t="s">
        <v>1133</v>
      </c>
      <c r="H161" s="12"/>
      <c r="I161" s="14" t="b">
        <f aca="false">IF(Lookup!$B$3="",FALSE(),ISNUMBER(SEARCH(Lookup!$B$3,A161&amp;" "&amp;B161&amp;" "&amp;D161&amp;" "&amp;E161&amp;" "&amp;F161)))</f>
        <v>0</v>
      </c>
      <c r="J161" s="0" t="str">
        <f aca="false">IF(I161,COUNTIF($I$2:I161,TRUE()),"")</f>
        <v/>
      </c>
    </row>
    <row r="162" customFormat="false" ht="28.35" hidden="false" customHeight="false" outlineLevel="0" collapsed="false">
      <c r="A162" s="11" t="s">
        <v>1134</v>
      </c>
      <c r="B162" s="12" t="s">
        <v>1135</v>
      </c>
      <c r="C162" s="12" t="s">
        <v>1136</v>
      </c>
      <c r="D162" s="12" t="s">
        <v>1137</v>
      </c>
      <c r="E162" s="12" t="s">
        <v>1138</v>
      </c>
      <c r="F162" s="12" t="s">
        <v>1139</v>
      </c>
      <c r="G162" s="12" t="s">
        <v>1140</v>
      </c>
      <c r="H162" s="12" t="s">
        <v>1141</v>
      </c>
      <c r="I162" s="14" t="b">
        <f aca="false">IF(Lookup!$B$3="",FALSE(),ISNUMBER(SEARCH(Lookup!$B$3,A162&amp;" "&amp;B162&amp;" "&amp;D162&amp;" "&amp;E162&amp;" "&amp;F162)))</f>
        <v>0</v>
      </c>
      <c r="J162" s="0" t="str">
        <f aca="false">IF(I162,COUNTIF($I$2:I162,TRUE()),"")</f>
        <v/>
      </c>
    </row>
    <row r="163" customFormat="false" ht="15" hidden="false" customHeight="false" outlineLevel="0" collapsed="false">
      <c r="A163" s="11" t="s">
        <v>1142</v>
      </c>
      <c r="B163" s="12" t="s">
        <v>1143</v>
      </c>
      <c r="C163" s="12" t="s">
        <v>1144</v>
      </c>
      <c r="D163" s="12" t="s">
        <v>1145</v>
      </c>
      <c r="E163" s="12" t="s">
        <v>1146</v>
      </c>
      <c r="F163" s="12" t="s">
        <v>1147</v>
      </c>
      <c r="G163" s="12" t="s">
        <v>1148</v>
      </c>
      <c r="H163" s="12"/>
      <c r="I163" s="14" t="b">
        <f aca="false">IF(Lookup!$B$3="",FALSE(),ISNUMBER(SEARCH(Lookup!$B$3,A163&amp;" "&amp;B163&amp;" "&amp;D163&amp;" "&amp;E163&amp;" "&amp;F163)))</f>
        <v>0</v>
      </c>
      <c r="J163" s="0" t="str">
        <f aca="false">IF(I163,COUNTIF($I$2:I163,TRUE()),"")</f>
        <v/>
      </c>
    </row>
    <row r="164" customFormat="false" ht="28.35" hidden="false" customHeight="false" outlineLevel="0" collapsed="false">
      <c r="A164" s="11" t="s">
        <v>1149</v>
      </c>
      <c r="B164" s="12" t="s">
        <v>615</v>
      </c>
      <c r="C164" s="12" t="s">
        <v>1150</v>
      </c>
      <c r="D164" s="12" t="s">
        <v>1151</v>
      </c>
      <c r="E164" s="12" t="s">
        <v>1152</v>
      </c>
      <c r="F164" s="12" t="s">
        <v>1153</v>
      </c>
      <c r="G164" s="12" t="s">
        <v>1154</v>
      </c>
      <c r="H164" s="12" t="s">
        <v>1155</v>
      </c>
      <c r="I164" s="14" t="b">
        <f aca="false">IF(Lookup!$B$3="",FALSE(),ISNUMBER(SEARCH(Lookup!$B$3,A164&amp;" "&amp;B164&amp;" "&amp;D164&amp;" "&amp;E164&amp;" "&amp;F164)))</f>
        <v>1</v>
      </c>
      <c r="J164" s="15" t="n">
        <f aca="false">IF(I164,COUNTIF($I$2:I164,TRUE()),"")</f>
        <v>2</v>
      </c>
    </row>
    <row r="165" customFormat="false" ht="28.35" hidden="false" customHeight="false" outlineLevel="0" collapsed="false">
      <c r="A165" s="11" t="s">
        <v>1156</v>
      </c>
      <c r="B165" s="12" t="s">
        <v>740</v>
      </c>
      <c r="C165" s="12" t="s">
        <v>1157</v>
      </c>
      <c r="D165" s="12" t="s">
        <v>1158</v>
      </c>
      <c r="E165" s="12" t="s">
        <v>1159</v>
      </c>
      <c r="F165" s="12" t="s">
        <v>1160</v>
      </c>
      <c r="G165" s="12" t="s">
        <v>1161</v>
      </c>
      <c r="H165" s="12" t="s">
        <v>1162</v>
      </c>
      <c r="I165" s="14" t="b">
        <f aca="false">IF(Lookup!$B$3="",FALSE(),ISNUMBER(SEARCH(Lookup!$B$3,A165&amp;" "&amp;B165&amp;" "&amp;D165&amp;" "&amp;E165&amp;" "&amp;F165)))</f>
        <v>0</v>
      </c>
      <c r="J165" s="0" t="str">
        <f aca="false">IF(I165,COUNTIF($I$2:I165,TRUE()),"")</f>
        <v/>
      </c>
    </row>
    <row r="166" customFormat="false" ht="15" hidden="false" customHeight="false" outlineLevel="0" collapsed="false">
      <c r="A166" s="11" t="s">
        <v>1163</v>
      </c>
      <c r="B166" s="12" t="s">
        <v>1164</v>
      </c>
      <c r="C166" s="12" t="s">
        <v>1165</v>
      </c>
      <c r="D166" s="12" t="s">
        <v>1166</v>
      </c>
      <c r="E166" s="12" t="s">
        <v>1167</v>
      </c>
      <c r="F166" s="12" t="s">
        <v>1168</v>
      </c>
      <c r="G166" s="12" t="s">
        <v>1169</v>
      </c>
      <c r="H166" s="12" t="s">
        <v>1170</v>
      </c>
      <c r="I166" s="14" t="b">
        <f aca="false">IF(Lookup!$B$3="",FALSE(),ISNUMBER(SEARCH(Lookup!$B$3,A166&amp;" "&amp;B166&amp;" "&amp;D166&amp;" "&amp;E166&amp;" "&amp;F166)))</f>
        <v>0</v>
      </c>
      <c r="J166" s="0" t="str">
        <f aca="false">IF(I166,COUNTIF($I$2:I166,TRUE()),"")</f>
        <v/>
      </c>
    </row>
    <row r="167" customFormat="false" ht="15" hidden="false" customHeight="false" outlineLevel="0" collapsed="false">
      <c r="A167" s="11" t="s">
        <v>1171</v>
      </c>
      <c r="B167" s="12" t="s">
        <v>283</v>
      </c>
      <c r="C167" s="12" t="s">
        <v>1172</v>
      </c>
      <c r="D167" s="12" t="s">
        <v>711</v>
      </c>
      <c r="E167" s="12" t="s">
        <v>1173</v>
      </c>
      <c r="F167" s="12" t="s">
        <v>1174</v>
      </c>
      <c r="G167" s="12" t="s">
        <v>1175</v>
      </c>
      <c r="H167" s="12" t="s">
        <v>31</v>
      </c>
      <c r="I167" s="14" t="b">
        <f aca="false">IF(Lookup!$B$3="",FALSE(),ISNUMBER(SEARCH(Lookup!$B$3,A167&amp;" "&amp;B167&amp;" "&amp;D167&amp;" "&amp;E167&amp;" "&amp;F167)))</f>
        <v>0</v>
      </c>
      <c r="J167" s="0" t="str">
        <f aca="false">IF(I167,COUNTIF($I$2:I167,TRUE()),"")</f>
        <v/>
      </c>
    </row>
    <row r="168" customFormat="false" ht="28.35" hidden="false" customHeight="false" outlineLevel="0" collapsed="false">
      <c r="A168" s="11" t="s">
        <v>270</v>
      </c>
      <c r="B168" s="12" t="s">
        <v>1176</v>
      </c>
      <c r="C168" s="12" t="s">
        <v>1177</v>
      </c>
      <c r="D168" s="12" t="s">
        <v>1178</v>
      </c>
      <c r="E168" s="12" t="s">
        <v>1179</v>
      </c>
      <c r="F168" s="12" t="s">
        <v>1180</v>
      </c>
      <c r="G168" s="12" t="s">
        <v>1181</v>
      </c>
      <c r="H168" s="12" t="s">
        <v>1182</v>
      </c>
      <c r="I168" s="14" t="b">
        <f aca="false">IF(Lookup!$B$3="",FALSE(),ISNUMBER(SEARCH(Lookup!$B$3,A168&amp;" "&amp;B168&amp;" "&amp;D168&amp;" "&amp;E168&amp;" "&amp;F168)))</f>
        <v>0</v>
      </c>
      <c r="J168" s="0" t="str">
        <f aca="false">IF(I168,COUNTIF($I$2:I168,TRUE()),"")</f>
        <v/>
      </c>
    </row>
    <row r="169" customFormat="false" ht="28.35" hidden="false" customHeight="false" outlineLevel="0" collapsed="false">
      <c r="A169" s="11" t="s">
        <v>1183</v>
      </c>
      <c r="B169" s="12" t="s">
        <v>532</v>
      </c>
      <c r="C169" s="12" t="s">
        <v>1184</v>
      </c>
      <c r="D169" s="12" t="s">
        <v>1185</v>
      </c>
      <c r="E169" s="12" t="s">
        <v>1186</v>
      </c>
      <c r="F169" s="12" t="s">
        <v>1187</v>
      </c>
      <c r="G169" s="12" t="s">
        <v>1188</v>
      </c>
      <c r="H169" s="12" t="s">
        <v>31</v>
      </c>
      <c r="I169" s="14" t="b">
        <f aca="false">IF(Lookup!$B$3="",FALSE(),ISNUMBER(SEARCH(Lookup!$B$3,A169&amp;" "&amp;B169&amp;" "&amp;D169&amp;" "&amp;E169&amp;" "&amp;F169)))</f>
        <v>0</v>
      </c>
      <c r="J169" s="0" t="str">
        <f aca="false">IF(I169,COUNTIF($I$2:I169,TRUE()),"")</f>
        <v/>
      </c>
    </row>
    <row r="170" customFormat="false" ht="28.35" hidden="false" customHeight="false" outlineLevel="0" collapsed="false">
      <c r="A170" s="11" t="s">
        <v>1189</v>
      </c>
      <c r="B170" s="12" t="s">
        <v>615</v>
      </c>
      <c r="C170" s="12" t="s">
        <v>1190</v>
      </c>
      <c r="D170" s="12" t="s">
        <v>1191</v>
      </c>
      <c r="E170" s="12" t="s">
        <v>1192</v>
      </c>
      <c r="F170" s="12" t="s">
        <v>1193</v>
      </c>
      <c r="G170" s="12" t="s">
        <v>1194</v>
      </c>
      <c r="H170" s="12" t="s">
        <v>1195</v>
      </c>
      <c r="I170" s="14" t="b">
        <f aca="false">IF(Lookup!$B$3="",FALSE(),ISNUMBER(SEARCH(Lookup!$B$3,A170&amp;" "&amp;B170&amp;" "&amp;D170&amp;" "&amp;E170&amp;" "&amp;F170)))</f>
        <v>1</v>
      </c>
      <c r="J170" s="15" t="n">
        <f aca="false">IF(I170,COUNTIF($I$2:I170,TRUE()),"")</f>
        <v>3</v>
      </c>
    </row>
    <row r="171" customFormat="false" ht="28.35" hidden="false" customHeight="false" outlineLevel="0" collapsed="false">
      <c r="A171" s="11" t="s">
        <v>1196</v>
      </c>
      <c r="B171" s="12" t="s">
        <v>1197</v>
      </c>
      <c r="C171" s="12" t="s">
        <v>1198</v>
      </c>
      <c r="D171" s="12" t="s">
        <v>1199</v>
      </c>
      <c r="E171" s="12" t="s">
        <v>1200</v>
      </c>
      <c r="F171" s="12" t="s">
        <v>1201</v>
      </c>
      <c r="G171" s="12" t="s">
        <v>1202</v>
      </c>
      <c r="H171" s="12" t="s">
        <v>1203</v>
      </c>
      <c r="I171" s="14" t="b">
        <f aca="false">IF(Lookup!$B$3="",FALSE(),ISNUMBER(SEARCH(Lookup!$B$3,A171&amp;" "&amp;B171&amp;" "&amp;D171&amp;" "&amp;E171&amp;" "&amp;F171)))</f>
        <v>0</v>
      </c>
      <c r="J171" s="0" t="str">
        <f aca="false">IF(I171,COUNTIF($I$2:I171,TRUE()),"")</f>
        <v/>
      </c>
    </row>
    <row r="172" customFormat="false" ht="15" hidden="false" customHeight="false" outlineLevel="0" collapsed="false">
      <c r="A172" s="11" t="s">
        <v>1204</v>
      </c>
      <c r="B172" s="12" t="s">
        <v>1205</v>
      </c>
      <c r="C172" s="12" t="s">
        <v>1206</v>
      </c>
      <c r="D172" s="12" t="s">
        <v>1207</v>
      </c>
      <c r="E172" s="12" t="s">
        <v>1208</v>
      </c>
      <c r="F172" s="12" t="s">
        <v>1209</v>
      </c>
      <c r="G172" s="12" t="s">
        <v>1210</v>
      </c>
      <c r="H172" s="12"/>
      <c r="I172" s="14" t="b">
        <f aca="false">IF(Lookup!$B$3="",FALSE(),ISNUMBER(SEARCH(Lookup!$B$3,A172&amp;" "&amp;B172&amp;" "&amp;D172&amp;" "&amp;E172&amp;" "&amp;F172)))</f>
        <v>0</v>
      </c>
      <c r="J172" s="0" t="str">
        <f aca="false">IF(I172,COUNTIF($I$2:I172,TRUE()),"")</f>
        <v/>
      </c>
    </row>
    <row r="173" customFormat="false" ht="15" hidden="false" customHeight="false" outlineLevel="0" collapsed="false">
      <c r="A173" s="11" t="s">
        <v>1211</v>
      </c>
      <c r="B173" s="12" t="s">
        <v>1212</v>
      </c>
      <c r="C173" s="12" t="s">
        <v>1213</v>
      </c>
      <c r="D173" s="12" t="s">
        <v>1214</v>
      </c>
      <c r="E173" s="12" t="s">
        <v>1215</v>
      </c>
      <c r="F173" s="12" t="s">
        <v>1215</v>
      </c>
      <c r="G173" s="12" t="s">
        <v>1216</v>
      </c>
      <c r="H173" s="12" t="s">
        <v>1217</v>
      </c>
      <c r="I173" s="14" t="b">
        <f aca="false">IF(Lookup!$B$3="",FALSE(),ISNUMBER(SEARCH(Lookup!$B$3,A173&amp;" "&amp;B173&amp;" "&amp;D173&amp;" "&amp;E173&amp;" "&amp;F173)))</f>
        <v>0</v>
      </c>
      <c r="J173" s="0" t="str">
        <f aca="false">IF(I173,COUNTIF($I$2:I173,TRUE()),"")</f>
        <v/>
      </c>
    </row>
    <row r="174" customFormat="false" ht="15" hidden="false" customHeight="false" outlineLevel="0" collapsed="false">
      <c r="A174" s="11" t="s">
        <v>1218</v>
      </c>
      <c r="B174" s="12" t="s">
        <v>580</v>
      </c>
      <c r="C174" s="12" t="s">
        <v>1219</v>
      </c>
      <c r="D174" s="12" t="s">
        <v>1220</v>
      </c>
      <c r="E174" s="12" t="s">
        <v>1221</v>
      </c>
      <c r="F174" s="12" t="s">
        <v>1222</v>
      </c>
      <c r="G174" s="12" t="s">
        <v>1223</v>
      </c>
      <c r="H174" s="12"/>
      <c r="I174" s="14" t="b">
        <f aca="false">IF(Lookup!$B$3="",FALSE(),ISNUMBER(SEARCH(Lookup!$B$3,A174&amp;" "&amp;B174&amp;" "&amp;D174&amp;" "&amp;E174&amp;" "&amp;F174)))</f>
        <v>0</v>
      </c>
      <c r="J174" s="0" t="str">
        <f aca="false">IF(I174,COUNTIF($I$2:I174,TRUE()),"")</f>
        <v/>
      </c>
    </row>
    <row r="175" customFormat="false" ht="15" hidden="false" customHeight="false" outlineLevel="0" collapsed="false">
      <c r="A175" s="11" t="s">
        <v>1224</v>
      </c>
      <c r="B175" s="12" t="s">
        <v>1225</v>
      </c>
      <c r="C175" s="12" t="s">
        <v>1226</v>
      </c>
      <c r="D175" s="12" t="s">
        <v>1227</v>
      </c>
      <c r="E175" s="12" t="s">
        <v>1228</v>
      </c>
      <c r="F175" s="12" t="s">
        <v>1229</v>
      </c>
      <c r="G175" s="12" t="s">
        <v>1230</v>
      </c>
      <c r="H175" s="12"/>
      <c r="I175" s="14" t="b">
        <f aca="false">IF(Lookup!$B$3="",FALSE(),ISNUMBER(SEARCH(Lookup!$B$3,A175&amp;" "&amp;B175&amp;" "&amp;D175&amp;" "&amp;E175&amp;" "&amp;F175)))</f>
        <v>0</v>
      </c>
      <c r="J175" s="0" t="str">
        <f aca="false">IF(I175,COUNTIF($I$2:I175,TRUE()),"")</f>
        <v/>
      </c>
    </row>
    <row r="176" customFormat="false" ht="15" hidden="false" customHeight="false" outlineLevel="0" collapsed="false">
      <c r="A176" s="11" t="s">
        <v>1231</v>
      </c>
      <c r="B176" s="12" t="s">
        <v>261</v>
      </c>
      <c r="C176" s="12" t="s">
        <v>1232</v>
      </c>
      <c r="D176" s="12" t="s">
        <v>1233</v>
      </c>
      <c r="E176" s="12" t="s">
        <v>1234</v>
      </c>
      <c r="F176" s="12" t="s">
        <v>1235</v>
      </c>
      <c r="G176" s="12" t="s">
        <v>1236</v>
      </c>
      <c r="H176" s="12"/>
      <c r="I176" s="14" t="b">
        <f aca="false">IF(Lookup!$B$3="",FALSE(),ISNUMBER(SEARCH(Lookup!$B$3,A176&amp;" "&amp;B176&amp;" "&amp;D176&amp;" "&amp;E176&amp;" "&amp;F176)))</f>
        <v>0</v>
      </c>
      <c r="J176" s="0" t="str">
        <f aca="false">IF(I176,COUNTIF($I$2:I176,TRUE()),"")</f>
        <v/>
      </c>
    </row>
    <row r="177" customFormat="false" ht="28.35" hidden="false" customHeight="false" outlineLevel="0" collapsed="false">
      <c r="A177" s="11" t="s">
        <v>1237</v>
      </c>
      <c r="B177" s="12" t="s">
        <v>1238</v>
      </c>
      <c r="C177" s="12" t="s">
        <v>1239</v>
      </c>
      <c r="D177" s="12" t="s">
        <v>1240</v>
      </c>
      <c r="E177" s="12" t="s">
        <v>1241</v>
      </c>
      <c r="F177" s="12" t="s">
        <v>1242</v>
      </c>
      <c r="G177" s="12" t="s">
        <v>1243</v>
      </c>
      <c r="H177" s="12" t="s">
        <v>1244</v>
      </c>
      <c r="I177" s="14" t="b">
        <f aca="false">IF(Lookup!$B$3="",FALSE(),ISNUMBER(SEARCH(Lookup!$B$3,A177&amp;" "&amp;B177&amp;" "&amp;D177&amp;" "&amp;E177&amp;" "&amp;F177)))</f>
        <v>0</v>
      </c>
      <c r="J177" s="0" t="str">
        <f aca="false">IF(I177,COUNTIF($I$2:I177,TRUE()),"")</f>
        <v/>
      </c>
    </row>
    <row r="178" customFormat="false" ht="28.35" hidden="false" customHeight="false" outlineLevel="0" collapsed="false">
      <c r="A178" s="11" t="s">
        <v>1245</v>
      </c>
      <c r="B178" s="12" t="s">
        <v>1246</v>
      </c>
      <c r="C178" s="12" t="s">
        <v>1247</v>
      </c>
      <c r="D178" s="12" t="s">
        <v>1248</v>
      </c>
      <c r="E178" s="12" t="s">
        <v>1249</v>
      </c>
      <c r="F178" s="12" t="s">
        <v>1250</v>
      </c>
      <c r="G178" s="12" t="s">
        <v>1251</v>
      </c>
      <c r="H178" s="12" t="s">
        <v>1252</v>
      </c>
      <c r="I178" s="14" t="b">
        <f aca="false">IF(Lookup!$B$3="",FALSE(),ISNUMBER(SEARCH(Lookup!$B$3,A178&amp;" "&amp;B178&amp;" "&amp;D178&amp;" "&amp;E178&amp;" "&amp;F178)))</f>
        <v>0</v>
      </c>
      <c r="J178" s="0" t="str">
        <f aca="false">IF(I178,COUNTIF($I$2:I178,TRUE()),"")</f>
        <v/>
      </c>
    </row>
    <row r="179" customFormat="false" ht="15" hidden="false" customHeight="false" outlineLevel="0" collapsed="false">
      <c r="A179" s="11" t="s">
        <v>1253</v>
      </c>
      <c r="B179" s="12" t="s">
        <v>370</v>
      </c>
      <c r="C179" s="12" t="s">
        <v>1254</v>
      </c>
      <c r="D179" s="12" t="s">
        <v>369</v>
      </c>
      <c r="E179" s="12" t="s">
        <v>1255</v>
      </c>
      <c r="F179" s="12" t="s">
        <v>1256</v>
      </c>
      <c r="G179" s="12" t="s">
        <v>1257</v>
      </c>
      <c r="H179" s="12" t="s">
        <v>1258</v>
      </c>
      <c r="I179" s="14" t="b">
        <f aca="false">IF(Lookup!$B$3="",FALSE(),ISNUMBER(SEARCH(Lookup!$B$3,A179&amp;" "&amp;B179&amp;" "&amp;D179&amp;" "&amp;E179&amp;" "&amp;F179)))</f>
        <v>0</v>
      </c>
      <c r="J179" s="0" t="str">
        <f aca="false">IF(I179,COUNTIF($I$2:I179,TRUE()),"")</f>
        <v/>
      </c>
    </row>
    <row r="180" customFormat="false" ht="28.35" hidden="false" customHeight="false" outlineLevel="0" collapsed="false">
      <c r="A180" s="11" t="s">
        <v>1259</v>
      </c>
      <c r="B180" s="12" t="s">
        <v>1260</v>
      </c>
      <c r="C180" s="12" t="s">
        <v>1261</v>
      </c>
      <c r="D180" s="12" t="s">
        <v>1262</v>
      </c>
      <c r="E180" s="12" t="s">
        <v>1263</v>
      </c>
      <c r="F180" s="12" t="s">
        <v>1264</v>
      </c>
      <c r="G180" s="12" t="s">
        <v>1265</v>
      </c>
      <c r="H180" s="12"/>
      <c r="I180" s="14" t="b">
        <f aca="false">IF(Lookup!$B$3="",FALSE(),ISNUMBER(SEARCH(Lookup!$B$3,A180&amp;" "&amp;B180&amp;" "&amp;D180&amp;" "&amp;E180&amp;" "&amp;F180)))</f>
        <v>0</v>
      </c>
      <c r="J180" s="0" t="str">
        <f aca="false">IF(I180,COUNTIF($I$2:I180,TRUE()),"")</f>
        <v/>
      </c>
    </row>
    <row r="181" customFormat="false" ht="15" hidden="false" customHeight="false" outlineLevel="0" collapsed="false">
      <c r="A181" s="11" t="s">
        <v>704</v>
      </c>
      <c r="B181" s="12" t="s">
        <v>702</v>
      </c>
      <c r="C181" s="12" t="s">
        <v>1266</v>
      </c>
      <c r="D181" s="12" t="s">
        <v>1267</v>
      </c>
      <c r="E181" s="12" t="s">
        <v>1268</v>
      </c>
      <c r="F181" s="12" t="s">
        <v>1269</v>
      </c>
      <c r="G181" s="12" t="s">
        <v>1270</v>
      </c>
      <c r="H181" s="12" t="s">
        <v>708</v>
      </c>
      <c r="I181" s="14" t="b">
        <f aca="false">IF(Lookup!$B$3="",FALSE(),ISNUMBER(SEARCH(Lookup!$B$3,A181&amp;" "&amp;B181&amp;" "&amp;D181&amp;" "&amp;E181&amp;" "&amp;F181)))</f>
        <v>0</v>
      </c>
      <c r="J181" s="0" t="str">
        <f aca="false">IF(I181,COUNTIF($I$2:I181,TRUE()),"")</f>
        <v/>
      </c>
    </row>
    <row r="182" customFormat="false" ht="28.35" hidden="false" customHeight="false" outlineLevel="0" collapsed="false">
      <c r="A182" s="11" t="s">
        <v>1271</v>
      </c>
      <c r="B182" s="12" t="s">
        <v>1272</v>
      </c>
      <c r="C182" s="12" t="s">
        <v>1273</v>
      </c>
      <c r="D182" s="12" t="s">
        <v>1274</v>
      </c>
      <c r="E182" s="12" t="s">
        <v>1275</v>
      </c>
      <c r="F182" s="12" t="s">
        <v>1276</v>
      </c>
      <c r="G182" s="12" t="s">
        <v>1277</v>
      </c>
      <c r="H182" s="12" t="s">
        <v>1278</v>
      </c>
      <c r="I182" s="14" t="b">
        <f aca="false">IF(Lookup!$B$3="",FALSE(),ISNUMBER(SEARCH(Lookup!$B$3,A182&amp;" "&amp;B182&amp;" "&amp;D182&amp;" "&amp;E182&amp;" "&amp;F182)))</f>
        <v>0</v>
      </c>
      <c r="J182" s="0" t="str">
        <f aca="false">IF(I182,COUNTIF($I$2:I182,TRUE()),"")</f>
        <v/>
      </c>
    </row>
    <row r="183" customFormat="false" ht="15" hidden="false" customHeight="false" outlineLevel="0" collapsed="false">
      <c r="A183" s="11" t="s">
        <v>1279</v>
      </c>
      <c r="B183" s="12" t="s">
        <v>1143</v>
      </c>
      <c r="C183" s="12" t="s">
        <v>1280</v>
      </c>
      <c r="D183" s="12" t="s">
        <v>1281</v>
      </c>
      <c r="E183" s="12" t="s">
        <v>1282</v>
      </c>
      <c r="F183" s="12" t="s">
        <v>1283</v>
      </c>
      <c r="G183" s="12" t="s">
        <v>1284</v>
      </c>
      <c r="H183" s="12"/>
      <c r="I183" s="14" t="b">
        <f aca="false">IF(Lookup!$B$3="",FALSE(),ISNUMBER(SEARCH(Lookup!$B$3,A183&amp;" "&amp;B183&amp;" "&amp;D183&amp;" "&amp;E183&amp;" "&amp;F183)))</f>
        <v>0</v>
      </c>
      <c r="J183" s="0" t="str">
        <f aca="false">IF(I183,COUNTIF($I$2:I183,TRUE()),"")</f>
        <v/>
      </c>
    </row>
    <row r="184" customFormat="false" ht="15" hidden="false" customHeight="false" outlineLevel="0" collapsed="false">
      <c r="A184" s="11" t="s">
        <v>1285</v>
      </c>
      <c r="B184" s="12" t="s">
        <v>615</v>
      </c>
      <c r="C184" s="12" t="s">
        <v>1286</v>
      </c>
      <c r="D184" s="12" t="s">
        <v>1287</v>
      </c>
      <c r="E184" s="12" t="s">
        <v>1288</v>
      </c>
      <c r="F184" s="12" t="s">
        <v>1289</v>
      </c>
      <c r="G184" s="12" t="s">
        <v>1290</v>
      </c>
      <c r="H184" s="12"/>
      <c r="I184" s="14" t="b">
        <f aca="false">IF(Lookup!$B$3="",FALSE(),ISNUMBER(SEARCH(Lookup!$B$3,A184&amp;" "&amp;B184&amp;" "&amp;D184&amp;" "&amp;E184&amp;" "&amp;F184)))</f>
        <v>1</v>
      </c>
      <c r="J184" s="15" t="n">
        <f aca="false">IF(I184,COUNTIF($I$2:I184,TRUE()),"")</f>
        <v>4</v>
      </c>
    </row>
    <row r="185" customFormat="false" ht="28.35" hidden="false" customHeight="false" outlineLevel="0" collapsed="false">
      <c r="A185" s="11" t="s">
        <v>1291</v>
      </c>
      <c r="B185" s="12" t="s">
        <v>761</v>
      </c>
      <c r="C185" s="12" t="s">
        <v>1292</v>
      </c>
      <c r="D185" s="12" t="s">
        <v>1293</v>
      </c>
      <c r="E185" s="12" t="s">
        <v>1294</v>
      </c>
      <c r="F185" s="12" t="s">
        <v>1295</v>
      </c>
      <c r="G185" s="12" t="s">
        <v>1296</v>
      </c>
      <c r="H185" s="12" t="s">
        <v>196</v>
      </c>
      <c r="I185" s="14" t="b">
        <f aca="false">IF(Lookup!$B$3="",FALSE(),ISNUMBER(SEARCH(Lookup!$B$3,A185&amp;" "&amp;B185&amp;" "&amp;D185&amp;" "&amp;E185&amp;" "&amp;F185)))</f>
        <v>0</v>
      </c>
      <c r="J185" s="0" t="str">
        <f aca="false">IF(I185,COUNTIF($I$2:I185,TRUE()),"")</f>
        <v/>
      </c>
    </row>
    <row r="186" customFormat="false" ht="15" hidden="false" customHeight="false" outlineLevel="0" collapsed="false">
      <c r="A186" s="11" t="s">
        <v>1297</v>
      </c>
      <c r="B186" s="12" t="s">
        <v>580</v>
      </c>
      <c r="C186" s="12" t="s">
        <v>1298</v>
      </c>
      <c r="D186" s="12" t="s">
        <v>1299</v>
      </c>
      <c r="E186" s="12" t="s">
        <v>1300</v>
      </c>
      <c r="F186" s="12" t="s">
        <v>1301</v>
      </c>
      <c r="G186" s="12" t="s">
        <v>1302</v>
      </c>
      <c r="H186" s="12"/>
      <c r="I186" s="14" t="b">
        <f aca="false">IF(Lookup!$B$3="",FALSE(),ISNUMBER(SEARCH(Lookup!$B$3,A186&amp;" "&amp;B186&amp;" "&amp;D186&amp;" "&amp;E186&amp;" "&amp;F186)))</f>
        <v>0</v>
      </c>
      <c r="J186" s="0" t="str">
        <f aca="false">IF(I186,COUNTIF($I$2:I186,TRUE()),"")</f>
        <v/>
      </c>
    </row>
    <row r="187" customFormat="false" ht="28.35" hidden="false" customHeight="false" outlineLevel="0" collapsed="false">
      <c r="A187" s="11" t="s">
        <v>1303</v>
      </c>
      <c r="B187" s="12" t="s">
        <v>628</v>
      </c>
      <c r="C187" s="12" t="s">
        <v>1304</v>
      </c>
      <c r="D187" s="12" t="s">
        <v>1305</v>
      </c>
      <c r="E187" s="12" t="s">
        <v>1306</v>
      </c>
      <c r="F187" s="12" t="s">
        <v>1307</v>
      </c>
      <c r="G187" s="12" t="s">
        <v>1308</v>
      </c>
      <c r="H187" s="12" t="s">
        <v>1309</v>
      </c>
      <c r="I187" s="14" t="b">
        <f aca="false">IF(Lookup!$B$3="",FALSE(),ISNUMBER(SEARCH(Lookup!$B$3,A187&amp;" "&amp;B187&amp;" "&amp;D187&amp;" "&amp;E187&amp;" "&amp;F187)))</f>
        <v>0</v>
      </c>
      <c r="J187" s="0" t="str">
        <f aca="false">IF(I187,COUNTIF($I$2:I187,TRUE()),"")</f>
        <v/>
      </c>
    </row>
    <row r="188" customFormat="false" ht="15" hidden="false" customHeight="false" outlineLevel="0" collapsed="false">
      <c r="A188" s="11" t="s">
        <v>1310</v>
      </c>
      <c r="B188" s="12" t="s">
        <v>497</v>
      </c>
      <c r="C188" s="12" t="s">
        <v>1311</v>
      </c>
      <c r="D188" s="12" t="s">
        <v>1312</v>
      </c>
      <c r="E188" s="12" t="s">
        <v>1313</v>
      </c>
      <c r="F188" s="12" t="s">
        <v>1314</v>
      </c>
      <c r="G188" s="12" t="s">
        <v>1315</v>
      </c>
      <c r="H188" s="12"/>
      <c r="I188" s="14" t="b">
        <f aca="false">IF(Lookup!$B$3="",FALSE(),ISNUMBER(SEARCH(Lookup!$B$3,A188&amp;" "&amp;B188&amp;" "&amp;D188&amp;" "&amp;E188&amp;" "&amp;F188)))</f>
        <v>0</v>
      </c>
      <c r="J188" s="0" t="str">
        <f aca="false">IF(I188,COUNTIF($I$2:I188,TRUE()),"")</f>
        <v/>
      </c>
    </row>
    <row r="189" customFormat="false" ht="15" hidden="false" customHeight="false" outlineLevel="0" collapsed="false">
      <c r="A189" s="11" t="s">
        <v>1316</v>
      </c>
      <c r="B189" s="12" t="s">
        <v>1143</v>
      </c>
      <c r="C189" s="12" t="s">
        <v>1317</v>
      </c>
      <c r="D189" s="12" t="s">
        <v>1318</v>
      </c>
      <c r="E189" s="12" t="s">
        <v>1319</v>
      </c>
      <c r="F189" s="12" t="s">
        <v>1320</v>
      </c>
      <c r="G189" s="12" t="s">
        <v>1321</v>
      </c>
      <c r="H189" s="12"/>
      <c r="I189" s="14" t="b">
        <f aca="false">IF(Lookup!$B$3="",FALSE(),ISNUMBER(SEARCH(Lookup!$B$3,A189&amp;" "&amp;B189&amp;" "&amp;D189&amp;" "&amp;E189&amp;" "&amp;F189)))</f>
        <v>0</v>
      </c>
      <c r="J189" s="0" t="str">
        <f aca="false">IF(I189,COUNTIF($I$2:I189,TRUE()),"")</f>
        <v/>
      </c>
    </row>
    <row r="190" customFormat="false" ht="28.35" hidden="false" customHeight="false" outlineLevel="0" collapsed="false">
      <c r="A190" s="11" t="s">
        <v>1322</v>
      </c>
      <c r="B190" s="12" t="s">
        <v>1323</v>
      </c>
      <c r="C190" s="12" t="s">
        <v>1324</v>
      </c>
      <c r="D190" s="12" t="s">
        <v>1325</v>
      </c>
      <c r="E190" s="12" t="s">
        <v>1326</v>
      </c>
      <c r="F190" s="12" t="s">
        <v>1327</v>
      </c>
      <c r="G190" s="12" t="s">
        <v>1328</v>
      </c>
      <c r="H190" s="12" t="s">
        <v>218</v>
      </c>
      <c r="I190" s="14" t="b">
        <f aca="false">IF(Lookup!$B$3="",FALSE(),ISNUMBER(SEARCH(Lookup!$B$3,A190&amp;" "&amp;B190&amp;" "&amp;D190&amp;" "&amp;E190&amp;" "&amp;F190)))</f>
        <v>0</v>
      </c>
      <c r="J190" s="0" t="str">
        <f aca="false">IF(I190,COUNTIF($I$2:I190,TRUE()),"")</f>
        <v/>
      </c>
    </row>
    <row r="191" customFormat="false" ht="15" hidden="false" customHeight="false" outlineLevel="0" collapsed="false">
      <c r="A191" s="11" t="s">
        <v>1329</v>
      </c>
      <c r="B191" s="12" t="s">
        <v>146</v>
      </c>
      <c r="C191" s="12" t="s">
        <v>1330</v>
      </c>
      <c r="D191" s="12" t="s">
        <v>1331</v>
      </c>
      <c r="E191" s="12" t="s">
        <v>1332</v>
      </c>
      <c r="F191" s="12" t="s">
        <v>1333</v>
      </c>
      <c r="G191" s="12" t="s">
        <v>1334</v>
      </c>
      <c r="H191" s="12"/>
      <c r="I191" s="14" t="b">
        <f aca="false">IF(Lookup!$B$3="",FALSE(),ISNUMBER(SEARCH(Lookup!$B$3,A191&amp;" "&amp;B191&amp;" "&amp;D191&amp;" "&amp;E191&amp;" "&amp;F191)))</f>
        <v>0</v>
      </c>
      <c r="J191" s="0" t="str">
        <f aca="false">IF(I191,COUNTIF($I$2:I191,TRUE()),"")</f>
        <v/>
      </c>
    </row>
    <row r="192" customFormat="false" ht="15" hidden="false" customHeight="false" outlineLevel="0" collapsed="false">
      <c r="A192" s="11" t="s">
        <v>1335</v>
      </c>
      <c r="B192" s="12" t="s">
        <v>190</v>
      </c>
      <c r="C192" s="12" t="s">
        <v>1336</v>
      </c>
      <c r="D192" s="12" t="s">
        <v>1337</v>
      </c>
      <c r="E192" s="12" t="s">
        <v>1338</v>
      </c>
      <c r="F192" s="12" t="s">
        <v>1339</v>
      </c>
      <c r="G192" s="12" t="s">
        <v>1340</v>
      </c>
      <c r="H192" s="12" t="s">
        <v>1341</v>
      </c>
      <c r="I192" s="14" t="b">
        <f aca="false">IF(Lookup!$B$3="",FALSE(),ISNUMBER(SEARCH(Lookup!$B$3,A192&amp;" "&amp;B192&amp;" "&amp;D192&amp;" "&amp;E192&amp;" "&amp;F192)))</f>
        <v>0</v>
      </c>
      <c r="J192" s="0" t="str">
        <f aca="false">IF(I192,COUNTIF($I$2:I192,TRUE()),"")</f>
        <v/>
      </c>
    </row>
    <row r="193" customFormat="false" ht="15" hidden="false" customHeight="false" outlineLevel="0" collapsed="false">
      <c r="A193" s="11" t="s">
        <v>1342</v>
      </c>
      <c r="B193" s="12" t="s">
        <v>239</v>
      </c>
      <c r="C193" s="12" t="s">
        <v>1343</v>
      </c>
      <c r="D193" s="12" t="s">
        <v>1344</v>
      </c>
      <c r="E193" s="12" t="s">
        <v>1345</v>
      </c>
      <c r="F193" s="12" t="s">
        <v>1346</v>
      </c>
      <c r="G193" s="12" t="s">
        <v>1347</v>
      </c>
      <c r="H193" s="12"/>
      <c r="I193" s="14" t="b">
        <f aca="false">IF(Lookup!$B$3="",FALSE(),ISNUMBER(SEARCH(Lookup!$B$3,A193&amp;" "&amp;B193&amp;" "&amp;D193&amp;" "&amp;E193&amp;" "&amp;F193)))</f>
        <v>0</v>
      </c>
      <c r="J193" s="0" t="str">
        <f aca="false">IF(I193,COUNTIF($I$2:I193,TRUE()),"")</f>
        <v/>
      </c>
    </row>
    <row r="194" customFormat="false" ht="15" hidden="false" customHeight="false" outlineLevel="0" collapsed="false">
      <c r="A194" s="11" t="s">
        <v>1348</v>
      </c>
      <c r="B194" s="12" t="s">
        <v>182</v>
      </c>
      <c r="C194" s="12" t="s">
        <v>1349</v>
      </c>
      <c r="D194" s="12" t="s">
        <v>1350</v>
      </c>
      <c r="E194" s="12" t="s">
        <v>1351</v>
      </c>
      <c r="F194" s="12" t="s">
        <v>1352</v>
      </c>
      <c r="G194" s="12" t="s">
        <v>1353</v>
      </c>
      <c r="H194" s="12"/>
      <c r="I194" s="14" t="b">
        <f aca="false">IF(Lookup!$B$3="",FALSE(),ISNUMBER(SEARCH(Lookup!$B$3,A194&amp;" "&amp;B194&amp;" "&amp;D194&amp;" "&amp;E194&amp;" "&amp;F194)))</f>
        <v>0</v>
      </c>
      <c r="J194" s="0" t="str">
        <f aca="false">IF(I194,COUNTIF($I$2:I194,TRUE()),"")</f>
        <v/>
      </c>
    </row>
    <row r="195" customFormat="false" ht="28.35" hidden="false" customHeight="false" outlineLevel="0" collapsed="false">
      <c r="A195" s="11" t="s">
        <v>1354</v>
      </c>
      <c r="B195" s="12" t="s">
        <v>1355</v>
      </c>
      <c r="C195" s="12" t="s">
        <v>1356</v>
      </c>
      <c r="D195" s="12" t="s">
        <v>1357</v>
      </c>
      <c r="E195" s="12" t="s">
        <v>1358</v>
      </c>
      <c r="F195" s="12" t="s">
        <v>1359</v>
      </c>
      <c r="G195" s="12" t="s">
        <v>1360</v>
      </c>
      <c r="H195" s="12" t="s">
        <v>1361</v>
      </c>
      <c r="I195" s="14" t="b">
        <f aca="false">IF(Lookup!$B$3="",FALSE(),ISNUMBER(SEARCH(Lookup!$B$3,A195&amp;" "&amp;B195&amp;" "&amp;D195&amp;" "&amp;E195&amp;" "&amp;F195)))</f>
        <v>0</v>
      </c>
      <c r="J195" s="0" t="str">
        <f aca="false">IF(I195,COUNTIF($I$2:I195,TRUE()),"")</f>
        <v/>
      </c>
    </row>
    <row r="196" customFormat="false" ht="15" hidden="false" customHeight="false" outlineLevel="0" collapsed="false">
      <c r="A196" s="11" t="s">
        <v>1362</v>
      </c>
      <c r="B196" s="12" t="s">
        <v>1363</v>
      </c>
      <c r="C196" s="12" t="s">
        <v>1364</v>
      </c>
      <c r="D196" s="12" t="s">
        <v>1365</v>
      </c>
      <c r="E196" s="12" t="s">
        <v>1366</v>
      </c>
      <c r="F196" s="12" t="s">
        <v>1367</v>
      </c>
      <c r="G196" s="12" t="s">
        <v>1368</v>
      </c>
      <c r="H196" s="12" t="s">
        <v>1369</v>
      </c>
      <c r="I196" s="14" t="b">
        <f aca="false">IF(Lookup!$B$3="",FALSE(),ISNUMBER(SEARCH(Lookup!$B$3,A196&amp;" "&amp;B196&amp;" "&amp;D196&amp;" "&amp;E196&amp;" "&amp;F196)))</f>
        <v>0</v>
      </c>
      <c r="J196" s="0" t="str">
        <f aca="false">IF(I196,COUNTIF($I$2:I196,TRUE()),"")</f>
        <v/>
      </c>
    </row>
    <row r="197" customFormat="false" ht="15" hidden="false" customHeight="false" outlineLevel="0" collapsed="false">
      <c r="A197" s="11" t="s">
        <v>1370</v>
      </c>
      <c r="B197" s="12" t="s">
        <v>609</v>
      </c>
      <c r="C197" s="12" t="s">
        <v>1371</v>
      </c>
      <c r="D197" s="12" t="s">
        <v>1372</v>
      </c>
      <c r="E197" s="12" t="s">
        <v>1373</v>
      </c>
      <c r="F197" s="12" t="s">
        <v>1374</v>
      </c>
      <c r="G197" s="12" t="s">
        <v>1375</v>
      </c>
      <c r="H197" s="12"/>
      <c r="I197" s="14" t="b">
        <f aca="false">IF(Lookup!$B$3="",FALSE(),ISNUMBER(SEARCH(Lookup!$B$3,A197&amp;" "&amp;B197&amp;" "&amp;D197&amp;" "&amp;E197&amp;" "&amp;F197)))</f>
        <v>0</v>
      </c>
      <c r="J197" s="0" t="str">
        <f aca="false">IF(I197,COUNTIF($I$2:I197,TRUE()),"")</f>
        <v/>
      </c>
    </row>
    <row r="198" customFormat="false" ht="15" hidden="false" customHeight="false" outlineLevel="0" collapsed="false">
      <c r="A198" s="11" t="s">
        <v>1376</v>
      </c>
      <c r="B198" s="12" t="s">
        <v>873</v>
      </c>
      <c r="C198" s="12" t="s">
        <v>1377</v>
      </c>
      <c r="D198" s="12" t="s">
        <v>1378</v>
      </c>
      <c r="E198" s="12" t="s">
        <v>1379</v>
      </c>
      <c r="F198" s="12" t="s">
        <v>1380</v>
      </c>
      <c r="G198" s="12" t="s">
        <v>1381</v>
      </c>
      <c r="H198" s="12" t="s">
        <v>1382</v>
      </c>
      <c r="I198" s="14" t="b">
        <f aca="false">IF(Lookup!$B$3="",FALSE(),ISNUMBER(SEARCH(Lookup!$B$3,A198&amp;" "&amp;B198&amp;" "&amp;D198&amp;" "&amp;E198&amp;" "&amp;F198)))</f>
        <v>0</v>
      </c>
      <c r="J198" s="0" t="str">
        <f aca="false">IF(I198,COUNTIF($I$2:I198,TRUE()),"")</f>
        <v/>
      </c>
    </row>
    <row r="199" customFormat="false" ht="28.35" hidden="false" customHeight="false" outlineLevel="0" collapsed="false">
      <c r="A199" s="11" t="s">
        <v>1383</v>
      </c>
      <c r="B199" s="12" t="s">
        <v>1384</v>
      </c>
      <c r="C199" s="12" t="s">
        <v>1385</v>
      </c>
      <c r="D199" s="12" t="s">
        <v>1386</v>
      </c>
      <c r="E199" s="12" t="s">
        <v>1387</v>
      </c>
      <c r="F199" s="12" t="s">
        <v>1388</v>
      </c>
      <c r="G199" s="12" t="s">
        <v>1389</v>
      </c>
      <c r="H199" s="12"/>
      <c r="I199" s="14" t="b">
        <f aca="false">IF(Lookup!$B$3="",FALSE(),ISNUMBER(SEARCH(Lookup!$B$3,A199&amp;" "&amp;B199&amp;" "&amp;D199&amp;" "&amp;E199&amp;" "&amp;F199)))</f>
        <v>0</v>
      </c>
      <c r="J199" s="0" t="str">
        <f aca="false">IF(I199,COUNTIF($I$2:I199,TRUE()),"")</f>
        <v/>
      </c>
    </row>
    <row r="200" customFormat="false" ht="15" hidden="false" customHeight="false" outlineLevel="0" collapsed="false">
      <c r="A200" s="11" t="s">
        <v>1390</v>
      </c>
      <c r="B200" s="12" t="s">
        <v>182</v>
      </c>
      <c r="C200" s="12" t="s">
        <v>1391</v>
      </c>
      <c r="D200" s="12" t="s">
        <v>1392</v>
      </c>
      <c r="E200" s="12" t="s">
        <v>1393</v>
      </c>
      <c r="F200" s="12" t="s">
        <v>1394</v>
      </c>
      <c r="G200" s="12" t="s">
        <v>1395</v>
      </c>
      <c r="H200" s="12"/>
      <c r="I200" s="14" t="b">
        <f aca="false">IF(Lookup!$B$3="",FALSE(),ISNUMBER(SEARCH(Lookup!$B$3,A200&amp;" "&amp;B200&amp;" "&amp;D200&amp;" "&amp;E200&amp;" "&amp;F200)))</f>
        <v>0</v>
      </c>
      <c r="J200" s="0" t="str">
        <f aca="false">IF(I200,COUNTIF($I$2:I200,TRUE()),"")</f>
        <v/>
      </c>
    </row>
    <row r="201" customFormat="false" ht="28.35" hidden="false" customHeight="false" outlineLevel="0" collapsed="false">
      <c r="A201" s="11" t="s">
        <v>1396</v>
      </c>
      <c r="B201" s="12" t="s">
        <v>958</v>
      </c>
      <c r="C201" s="12" t="s">
        <v>1371</v>
      </c>
      <c r="D201" s="12" t="s">
        <v>1397</v>
      </c>
      <c r="E201" s="12" t="s">
        <v>1398</v>
      </c>
      <c r="F201" s="12" t="s">
        <v>1399</v>
      </c>
      <c r="G201" s="12" t="s">
        <v>1400</v>
      </c>
      <c r="H201" s="12" t="s">
        <v>1401</v>
      </c>
      <c r="I201" s="14" t="b">
        <f aca="false">IF(Lookup!$B$3="",FALSE(),ISNUMBER(SEARCH(Lookup!$B$3,A201&amp;" "&amp;B201&amp;" "&amp;D201&amp;" "&amp;E201&amp;" "&amp;F201)))</f>
        <v>0</v>
      </c>
      <c r="J201" s="0" t="str">
        <f aca="false">IF(I201,COUNTIF($I$2:I201,TRUE()),"")</f>
        <v/>
      </c>
    </row>
    <row r="202" customFormat="false" ht="28.35" hidden="false" customHeight="false" outlineLevel="0" collapsed="false">
      <c r="A202" s="11" t="s">
        <v>1402</v>
      </c>
      <c r="B202" s="12" t="s">
        <v>497</v>
      </c>
      <c r="C202" s="12" t="s">
        <v>1403</v>
      </c>
      <c r="D202" s="12" t="s">
        <v>1404</v>
      </c>
      <c r="E202" s="12" t="s">
        <v>1405</v>
      </c>
      <c r="F202" s="12" t="s">
        <v>1405</v>
      </c>
      <c r="G202" s="12" t="s">
        <v>1315</v>
      </c>
      <c r="H202" s="12" t="s">
        <v>1406</v>
      </c>
      <c r="I202" s="14" t="b">
        <f aca="false">IF(Lookup!$B$3="",FALSE(),ISNUMBER(SEARCH(Lookup!$B$3,A202&amp;" "&amp;B202&amp;" "&amp;D202&amp;" "&amp;E202&amp;" "&amp;F202)))</f>
        <v>0</v>
      </c>
      <c r="J202" s="0" t="str">
        <f aca="false">IF(I202,COUNTIF($I$2:I202,TRUE()),"")</f>
        <v/>
      </c>
    </row>
    <row r="203" customFormat="false" ht="28.35" hidden="false" customHeight="false" outlineLevel="0" collapsed="false">
      <c r="A203" s="11" t="s">
        <v>1407</v>
      </c>
      <c r="B203" s="12" t="s">
        <v>261</v>
      </c>
      <c r="C203" s="12" t="s">
        <v>1408</v>
      </c>
      <c r="D203" s="12" t="s">
        <v>1409</v>
      </c>
      <c r="E203" s="12" t="s">
        <v>1410</v>
      </c>
      <c r="F203" s="12" t="s">
        <v>1411</v>
      </c>
      <c r="G203" s="12" t="s">
        <v>1412</v>
      </c>
      <c r="H203" s="12"/>
      <c r="I203" s="14" t="b">
        <f aca="false">IF(Lookup!$B$3="",FALSE(),ISNUMBER(SEARCH(Lookup!$B$3,A203&amp;" "&amp;B203&amp;" "&amp;D203&amp;" "&amp;E203&amp;" "&amp;F203)))</f>
        <v>0</v>
      </c>
      <c r="J203" s="0" t="str">
        <f aca="false">IF(I203,COUNTIF($I$2:I203,TRUE()),"")</f>
        <v/>
      </c>
    </row>
    <row r="204" customFormat="false" ht="15" hidden="false" customHeight="false" outlineLevel="0" collapsed="false">
      <c r="A204" s="11" t="s">
        <v>1413</v>
      </c>
      <c r="B204" s="12" t="s">
        <v>1414</v>
      </c>
      <c r="C204" s="12" t="s">
        <v>1415</v>
      </c>
      <c r="D204" s="12" t="s">
        <v>1416</v>
      </c>
      <c r="E204" s="12" t="s">
        <v>1417</v>
      </c>
      <c r="F204" s="12" t="s">
        <v>1418</v>
      </c>
      <c r="G204" s="12" t="s">
        <v>1419</v>
      </c>
      <c r="H204" s="12"/>
      <c r="I204" s="14" t="b">
        <f aca="false">IF(Lookup!$B$3="",FALSE(),ISNUMBER(SEARCH(Lookup!$B$3,A204&amp;" "&amp;B204&amp;" "&amp;D204&amp;" "&amp;E204&amp;" "&amp;F204)))</f>
        <v>0</v>
      </c>
      <c r="J204" s="0" t="str">
        <f aca="false">IF(I204,COUNTIF($I$2:I204,TRUE()),"")</f>
        <v/>
      </c>
    </row>
    <row r="205" customFormat="false" ht="15" hidden="false" customHeight="false" outlineLevel="0" collapsed="false">
      <c r="A205" s="11" t="s">
        <v>1420</v>
      </c>
      <c r="B205" s="12" t="s">
        <v>1421</v>
      </c>
      <c r="C205" s="12" t="s">
        <v>1422</v>
      </c>
      <c r="D205" s="12" t="s">
        <v>1423</v>
      </c>
      <c r="E205" s="12" t="s">
        <v>1424</v>
      </c>
      <c r="F205" s="12" t="s">
        <v>1425</v>
      </c>
      <c r="G205" s="12" t="s">
        <v>1426</v>
      </c>
      <c r="H205" s="12" t="s">
        <v>1427</v>
      </c>
      <c r="I205" s="14" t="b">
        <f aca="false">IF(Lookup!$B$3="",FALSE(),ISNUMBER(SEARCH(Lookup!$B$3,A205&amp;" "&amp;B205&amp;" "&amp;D205&amp;" "&amp;E205&amp;" "&amp;F205)))</f>
        <v>0</v>
      </c>
      <c r="J205" s="0" t="str">
        <f aca="false">IF(I205,COUNTIF($I$2:I205,TRUE()),"")</f>
        <v/>
      </c>
    </row>
    <row r="206" customFormat="false" ht="28.35" hidden="false" customHeight="false" outlineLevel="0" collapsed="false">
      <c r="A206" s="11" t="s">
        <v>1428</v>
      </c>
      <c r="B206" s="12" t="s">
        <v>1429</v>
      </c>
      <c r="C206" s="12" t="s">
        <v>1430</v>
      </c>
      <c r="D206" s="12" t="s">
        <v>1431</v>
      </c>
      <c r="E206" s="12" t="s">
        <v>1432</v>
      </c>
      <c r="F206" s="12" t="s">
        <v>1433</v>
      </c>
      <c r="G206" s="12" t="s">
        <v>1434</v>
      </c>
      <c r="H206" s="12" t="s">
        <v>1435</v>
      </c>
      <c r="I206" s="14" t="b">
        <f aca="false">IF(Lookup!$B$3="",FALSE(),ISNUMBER(SEARCH(Lookup!$B$3,A206&amp;" "&amp;B206&amp;" "&amp;D206&amp;" "&amp;E206&amp;" "&amp;F206)))</f>
        <v>0</v>
      </c>
      <c r="J206" s="0" t="str">
        <f aca="false">IF(I206,COUNTIF($I$2:I206,TRUE()),"")</f>
        <v/>
      </c>
    </row>
    <row r="207" customFormat="false" ht="15" hidden="false" customHeight="false" outlineLevel="0" collapsed="false">
      <c r="A207" s="11" t="s">
        <v>1436</v>
      </c>
      <c r="B207" s="12" t="s">
        <v>1437</v>
      </c>
      <c r="C207" s="12" t="s">
        <v>1438</v>
      </c>
      <c r="D207" s="12" t="s">
        <v>1439</v>
      </c>
      <c r="E207" s="12" t="s">
        <v>1440</v>
      </c>
      <c r="F207" s="12" t="s">
        <v>1441</v>
      </c>
      <c r="G207" s="12" t="s">
        <v>1442</v>
      </c>
      <c r="H207" s="12"/>
      <c r="I207" s="14" t="b">
        <f aca="false">IF(Lookup!$B$3="",FALSE(),ISNUMBER(SEARCH(Lookup!$B$3,A207&amp;" "&amp;B207&amp;" "&amp;D207&amp;" "&amp;E207&amp;" "&amp;F207)))</f>
        <v>0</v>
      </c>
      <c r="J207" s="0" t="str">
        <f aca="false">IF(I207,COUNTIF($I$2:I207,TRUE()),"")</f>
        <v/>
      </c>
    </row>
    <row r="208" customFormat="false" ht="15" hidden="false" customHeight="false" outlineLevel="0" collapsed="false">
      <c r="A208" s="11" t="s">
        <v>1443</v>
      </c>
      <c r="B208" s="12" t="s">
        <v>978</v>
      </c>
      <c r="C208" s="12" t="s">
        <v>1444</v>
      </c>
      <c r="D208" s="12" t="s">
        <v>1445</v>
      </c>
      <c r="E208" s="12" t="s">
        <v>1446</v>
      </c>
      <c r="F208" s="12" t="s">
        <v>1447</v>
      </c>
      <c r="G208" s="12" t="s">
        <v>1448</v>
      </c>
      <c r="H208" s="12"/>
      <c r="I208" s="14" t="b">
        <f aca="false">IF(Lookup!$B$3="",FALSE(),ISNUMBER(SEARCH(Lookup!$B$3,A208&amp;" "&amp;B208&amp;" "&amp;D208&amp;" "&amp;E208&amp;" "&amp;F208)))</f>
        <v>0</v>
      </c>
      <c r="J208" s="0" t="str">
        <f aca="false">IF(I208,COUNTIF($I$2:I208,TRUE()),"")</f>
        <v/>
      </c>
    </row>
    <row r="209" customFormat="false" ht="15" hidden="false" customHeight="false" outlineLevel="0" collapsed="false">
      <c r="A209" s="11" t="s">
        <v>1449</v>
      </c>
      <c r="B209" s="12" t="s">
        <v>1450</v>
      </c>
      <c r="C209" s="12" t="s">
        <v>1451</v>
      </c>
      <c r="D209" s="12" t="s">
        <v>1452</v>
      </c>
      <c r="E209" s="12" t="s">
        <v>1453</v>
      </c>
      <c r="F209" s="12" t="s">
        <v>1454</v>
      </c>
      <c r="G209" s="12" t="s">
        <v>1455</v>
      </c>
      <c r="H209" s="12"/>
      <c r="I209" s="14" t="b">
        <f aca="false">IF(Lookup!$B$3="",FALSE(),ISNUMBER(SEARCH(Lookup!$B$3,A209&amp;" "&amp;B209&amp;" "&amp;D209&amp;" "&amp;E209&amp;" "&amp;F209)))</f>
        <v>0</v>
      </c>
      <c r="J209" s="0" t="str">
        <f aca="false">IF(I209,COUNTIF($I$2:I209,TRUE()),"")</f>
        <v/>
      </c>
    </row>
    <row r="210" customFormat="false" ht="15" hidden="false" customHeight="false" outlineLevel="0" collapsed="false">
      <c r="A210" s="11" t="s">
        <v>1456</v>
      </c>
      <c r="B210" s="12" t="s">
        <v>761</v>
      </c>
      <c r="C210" s="12" t="s">
        <v>1457</v>
      </c>
      <c r="D210" s="12" t="s">
        <v>1458</v>
      </c>
      <c r="E210" s="12" t="s">
        <v>1459</v>
      </c>
      <c r="F210" s="12" t="s">
        <v>1460</v>
      </c>
      <c r="G210" s="12" t="s">
        <v>1461</v>
      </c>
      <c r="H210" s="12" t="s">
        <v>196</v>
      </c>
      <c r="I210" s="14" t="b">
        <f aca="false">IF(Lookup!$B$3="",FALSE(),ISNUMBER(SEARCH(Lookup!$B$3,A210&amp;" "&amp;B210&amp;" "&amp;D210&amp;" "&amp;E210&amp;" "&amp;F210)))</f>
        <v>0</v>
      </c>
      <c r="J210" s="0" t="str">
        <f aca="false">IF(I210,COUNTIF($I$2:I210,TRUE()),"")</f>
        <v/>
      </c>
    </row>
    <row r="211" customFormat="false" ht="15" hidden="false" customHeight="false" outlineLevel="0" collapsed="false">
      <c r="A211" s="11" t="s">
        <v>1462</v>
      </c>
      <c r="B211" s="12" t="s">
        <v>412</v>
      </c>
      <c r="C211" s="12" t="s">
        <v>1463</v>
      </c>
      <c r="D211" s="12" t="s">
        <v>1464</v>
      </c>
      <c r="E211" s="12" t="s">
        <v>1465</v>
      </c>
      <c r="F211" s="12" t="s">
        <v>1466</v>
      </c>
      <c r="G211" s="12" t="s">
        <v>1467</v>
      </c>
      <c r="H211" s="12" t="s">
        <v>1468</v>
      </c>
      <c r="I211" s="14" t="b">
        <f aca="false">IF(Lookup!$B$3="",FALSE(),ISNUMBER(SEARCH(Lookup!$B$3,A211&amp;" "&amp;B211&amp;" "&amp;D211&amp;" "&amp;E211&amp;" "&amp;F211)))</f>
        <v>0</v>
      </c>
      <c r="J211" s="0" t="str">
        <f aca="false">IF(I211,COUNTIF($I$2:I211,TRUE()),"")</f>
        <v/>
      </c>
    </row>
    <row r="212" customFormat="false" ht="28.35" hidden="false" customHeight="false" outlineLevel="0" collapsed="false">
      <c r="A212" s="11" t="s">
        <v>1469</v>
      </c>
      <c r="B212" s="12" t="s">
        <v>1470</v>
      </c>
      <c r="C212" s="12" t="s">
        <v>1082</v>
      </c>
      <c r="D212" s="12" t="s">
        <v>1471</v>
      </c>
      <c r="E212" s="12" t="s">
        <v>1472</v>
      </c>
      <c r="F212" s="12" t="s">
        <v>1473</v>
      </c>
      <c r="G212" s="12" t="s">
        <v>1474</v>
      </c>
      <c r="H212" s="12"/>
      <c r="I212" s="14" t="b">
        <f aca="false">IF(Lookup!$B$3="",FALSE(),ISNUMBER(SEARCH(Lookup!$B$3,A212&amp;" "&amp;B212&amp;" "&amp;D212&amp;" "&amp;E212&amp;" "&amp;F212)))</f>
        <v>0</v>
      </c>
      <c r="J212" s="0" t="str">
        <f aca="false">IF(I212,COUNTIF($I$2:I212,TRUE()),"")</f>
        <v/>
      </c>
    </row>
    <row r="213" customFormat="false" ht="28.35" hidden="false" customHeight="false" outlineLevel="0" collapsed="false">
      <c r="A213" s="11" t="s">
        <v>1475</v>
      </c>
      <c r="B213" s="12" t="s">
        <v>1476</v>
      </c>
      <c r="C213" s="12" t="s">
        <v>1477</v>
      </c>
      <c r="D213" s="12" t="s">
        <v>1478</v>
      </c>
      <c r="E213" s="12" t="s">
        <v>1479</v>
      </c>
      <c r="F213" s="12" t="s">
        <v>1480</v>
      </c>
      <c r="G213" s="12" t="s">
        <v>1481</v>
      </c>
      <c r="H213" s="12"/>
      <c r="I213" s="14" t="b">
        <f aca="false">IF(Lookup!$B$3="",FALSE(),ISNUMBER(SEARCH(Lookup!$B$3,A213&amp;" "&amp;B213&amp;" "&amp;D213&amp;" "&amp;E213&amp;" "&amp;F213)))</f>
        <v>0</v>
      </c>
      <c r="J213" s="0" t="str">
        <f aca="false">IF(I213,COUNTIF($I$2:I213,TRUE()),"")</f>
        <v/>
      </c>
    </row>
    <row r="214" customFormat="false" ht="28.35" hidden="false" customHeight="false" outlineLevel="0" collapsed="false">
      <c r="A214" s="11" t="s">
        <v>1482</v>
      </c>
      <c r="B214" s="12" t="s">
        <v>1483</v>
      </c>
      <c r="C214" s="12" t="s">
        <v>1484</v>
      </c>
      <c r="D214" s="12" t="s">
        <v>1485</v>
      </c>
      <c r="E214" s="12" t="s">
        <v>1486</v>
      </c>
      <c r="F214" s="12" t="s">
        <v>1487</v>
      </c>
      <c r="G214" s="12" t="s">
        <v>1488</v>
      </c>
      <c r="H214" s="12"/>
      <c r="I214" s="14" t="b">
        <f aca="false">IF(Lookup!$B$3="",FALSE(),ISNUMBER(SEARCH(Lookup!$B$3,A214&amp;" "&amp;B214&amp;" "&amp;D214&amp;" "&amp;E214&amp;" "&amp;F214)))</f>
        <v>0</v>
      </c>
      <c r="J214" s="0" t="str">
        <f aca="false">IF(I214,COUNTIF($I$2:I214,TRUE()),"")</f>
        <v/>
      </c>
    </row>
    <row r="215" customFormat="false" ht="15" hidden="false" customHeight="false" outlineLevel="0" collapsed="false">
      <c r="A215" s="11" t="s">
        <v>1489</v>
      </c>
      <c r="B215" s="12" t="s">
        <v>695</v>
      </c>
      <c r="C215" s="12" t="s">
        <v>1490</v>
      </c>
      <c r="D215" s="12" t="s">
        <v>1491</v>
      </c>
      <c r="E215" s="12" t="s">
        <v>1492</v>
      </c>
      <c r="F215" s="12" t="s">
        <v>1493</v>
      </c>
      <c r="G215" s="12" t="s">
        <v>1494</v>
      </c>
      <c r="H215" s="12"/>
      <c r="I215" s="14" t="b">
        <f aca="false">IF(Lookup!$B$3="",FALSE(),ISNUMBER(SEARCH(Lookup!$B$3,A215&amp;" "&amp;B215&amp;" "&amp;D215&amp;" "&amp;E215&amp;" "&amp;F215)))</f>
        <v>0</v>
      </c>
      <c r="J215" s="0" t="str">
        <f aca="false">IF(I215,COUNTIF($I$2:I215,TRUE()),"")</f>
        <v/>
      </c>
    </row>
    <row r="216" customFormat="false" ht="28.35" hidden="false" customHeight="false" outlineLevel="0" collapsed="false">
      <c r="A216" s="11" t="s">
        <v>1495</v>
      </c>
      <c r="B216" s="12" t="s">
        <v>1068</v>
      </c>
      <c r="C216" s="12" t="s">
        <v>1496</v>
      </c>
      <c r="D216" s="12" t="s">
        <v>1497</v>
      </c>
      <c r="E216" s="12" t="s">
        <v>1498</v>
      </c>
      <c r="F216" s="12" t="s">
        <v>1499</v>
      </c>
      <c r="G216" s="12" t="s">
        <v>1500</v>
      </c>
      <c r="H216" s="12" t="s">
        <v>1501</v>
      </c>
      <c r="I216" s="14" t="b">
        <f aca="false">IF(Lookup!$B$3="",FALSE(),ISNUMBER(SEARCH(Lookup!$B$3,A216&amp;" "&amp;B216&amp;" "&amp;D216&amp;" "&amp;E216&amp;" "&amp;F216)))</f>
        <v>0</v>
      </c>
      <c r="J216" s="0" t="str">
        <f aca="false">IF(I216,COUNTIF($I$2:I216,TRUE()),"")</f>
        <v/>
      </c>
    </row>
    <row r="217" customFormat="false" ht="28.35" hidden="false" customHeight="false" outlineLevel="0" collapsed="false">
      <c r="A217" s="11" t="s">
        <v>1502</v>
      </c>
      <c r="B217" s="12" t="s">
        <v>1503</v>
      </c>
      <c r="C217" s="12" t="s">
        <v>1504</v>
      </c>
      <c r="D217" s="12" t="s">
        <v>1505</v>
      </c>
      <c r="E217" s="12" t="s">
        <v>1506</v>
      </c>
      <c r="F217" s="12" t="s">
        <v>1507</v>
      </c>
      <c r="G217" s="12" t="s">
        <v>1508</v>
      </c>
      <c r="H217" s="12" t="s">
        <v>1509</v>
      </c>
      <c r="I217" s="14" t="b">
        <f aca="false">IF(Lookup!$B$3="",FALSE(),ISNUMBER(SEARCH(Lookup!$B$3,A217&amp;" "&amp;B217&amp;" "&amp;D217&amp;" "&amp;E217&amp;" "&amp;F217)))</f>
        <v>0</v>
      </c>
      <c r="J217" s="0" t="str">
        <f aca="false">IF(I217,COUNTIF($I$2:I217,TRUE()),"")</f>
        <v/>
      </c>
    </row>
    <row r="218" customFormat="false" ht="28.35" hidden="false" customHeight="false" outlineLevel="0" collapsed="false">
      <c r="A218" s="11" t="s">
        <v>1510</v>
      </c>
      <c r="B218" s="12" t="s">
        <v>1511</v>
      </c>
      <c r="C218" s="12" t="s">
        <v>1512</v>
      </c>
      <c r="D218" s="12" t="s">
        <v>1513</v>
      </c>
      <c r="E218" s="12" t="s">
        <v>1514</v>
      </c>
      <c r="F218" s="12" t="s">
        <v>1515</v>
      </c>
      <c r="G218" s="12" t="s">
        <v>1516</v>
      </c>
      <c r="H218" s="12" t="s">
        <v>1517</v>
      </c>
      <c r="I218" s="14" t="b">
        <f aca="false">IF(Lookup!$B$3="",FALSE(),ISNUMBER(SEARCH(Lookup!$B$3,A218&amp;" "&amp;B218&amp;" "&amp;D218&amp;" "&amp;E218&amp;" "&amp;F218)))</f>
        <v>0</v>
      </c>
      <c r="J218" s="0" t="str">
        <f aca="false">IF(I218,COUNTIF($I$2:I218,TRUE()),"")</f>
        <v/>
      </c>
    </row>
    <row r="219" customFormat="false" ht="15" hidden="false" customHeight="false" outlineLevel="0" collapsed="false">
      <c r="A219" s="11" t="s">
        <v>1518</v>
      </c>
      <c r="B219" s="12" t="s">
        <v>1519</v>
      </c>
      <c r="C219" s="12" t="s">
        <v>1520</v>
      </c>
      <c r="D219" s="12" t="s">
        <v>1521</v>
      </c>
      <c r="E219" s="12" t="s">
        <v>1522</v>
      </c>
      <c r="F219" s="12" t="s">
        <v>1523</v>
      </c>
      <c r="G219" s="12" t="s">
        <v>1524</v>
      </c>
      <c r="H219" s="12" t="s">
        <v>1525</v>
      </c>
      <c r="I219" s="14" t="b">
        <f aca="false">IF(Lookup!$B$3="",FALSE(),ISNUMBER(SEARCH(Lookup!$B$3,A219&amp;" "&amp;B219&amp;" "&amp;D219&amp;" "&amp;E219&amp;" "&amp;F219)))</f>
        <v>0</v>
      </c>
      <c r="J219" s="0" t="str">
        <f aca="false">IF(I219,COUNTIF($I$2:I219,TRUE()),"")</f>
        <v/>
      </c>
    </row>
    <row r="220" customFormat="false" ht="28.35" hidden="false" customHeight="false" outlineLevel="0" collapsed="false">
      <c r="A220" s="11" t="s">
        <v>1526</v>
      </c>
      <c r="B220" s="12" t="s">
        <v>1527</v>
      </c>
      <c r="C220" s="12" t="s">
        <v>1528</v>
      </c>
      <c r="D220" s="12" t="s">
        <v>1529</v>
      </c>
      <c r="E220" s="12" t="s">
        <v>1530</v>
      </c>
      <c r="F220" s="12" t="s">
        <v>1530</v>
      </c>
      <c r="G220" s="12" t="s">
        <v>1531</v>
      </c>
      <c r="H220" s="12" t="s">
        <v>1532</v>
      </c>
      <c r="I220" s="14" t="b">
        <f aca="false">IF(Lookup!$B$3="",FALSE(),ISNUMBER(SEARCH(Lookup!$B$3,A220&amp;" "&amp;B220&amp;" "&amp;D220&amp;" "&amp;E220&amp;" "&amp;F220)))</f>
        <v>0</v>
      </c>
      <c r="J220" s="0" t="str">
        <f aca="false">IF(I220,COUNTIF($I$2:I220,TRUE()),"")</f>
        <v/>
      </c>
    </row>
    <row r="221" customFormat="false" ht="15" hidden="false" customHeight="false" outlineLevel="0" collapsed="false">
      <c r="A221" s="11" t="s">
        <v>1533</v>
      </c>
      <c r="B221" s="12" t="s">
        <v>978</v>
      </c>
      <c r="C221" s="12" t="s">
        <v>1534</v>
      </c>
      <c r="D221" s="12" t="s">
        <v>1535</v>
      </c>
      <c r="E221" s="12" t="s">
        <v>1536</v>
      </c>
      <c r="F221" s="12" t="s">
        <v>1537</v>
      </c>
      <c r="G221" s="12" t="s">
        <v>1538</v>
      </c>
      <c r="H221" s="12"/>
      <c r="I221" s="14" t="b">
        <f aca="false">IF(Lookup!$B$3="",FALSE(),ISNUMBER(SEARCH(Lookup!$B$3,A221&amp;" "&amp;B221&amp;" "&amp;D221&amp;" "&amp;E221&amp;" "&amp;F221)))</f>
        <v>0</v>
      </c>
      <c r="J221" s="0" t="str">
        <f aca="false">IF(I221,COUNTIF($I$2:I221,TRUE()),"")</f>
        <v/>
      </c>
    </row>
    <row r="222" customFormat="false" ht="15" hidden="false" customHeight="false" outlineLevel="0" collapsed="false">
      <c r="A222" s="11" t="s">
        <v>1539</v>
      </c>
      <c r="B222" s="12" t="s">
        <v>1437</v>
      </c>
      <c r="C222" s="12" t="s">
        <v>1540</v>
      </c>
      <c r="D222" s="12" t="s">
        <v>1541</v>
      </c>
      <c r="E222" s="12" t="s">
        <v>1542</v>
      </c>
      <c r="F222" s="12" t="s">
        <v>1543</v>
      </c>
      <c r="G222" s="12" t="s">
        <v>1544</v>
      </c>
      <c r="H222" s="12" t="s">
        <v>1545</v>
      </c>
      <c r="I222" s="14" t="b">
        <f aca="false">IF(Lookup!$B$3="",FALSE(),ISNUMBER(SEARCH(Lookup!$B$3,A222&amp;" "&amp;B222&amp;" "&amp;D222&amp;" "&amp;E222&amp;" "&amp;F222)))</f>
        <v>0</v>
      </c>
      <c r="J222" s="0" t="str">
        <f aca="false">IF(I222,COUNTIF($I$2:I222,TRUE()),"")</f>
        <v/>
      </c>
    </row>
    <row r="223" customFormat="false" ht="15" hidden="false" customHeight="false" outlineLevel="0" collapsed="false">
      <c r="A223" s="11" t="s">
        <v>1546</v>
      </c>
      <c r="B223" s="12" t="s">
        <v>190</v>
      </c>
      <c r="C223" s="12" t="s">
        <v>1547</v>
      </c>
      <c r="D223" s="12" t="s">
        <v>1548</v>
      </c>
      <c r="E223" s="12" t="s">
        <v>1549</v>
      </c>
      <c r="F223" s="12" t="s">
        <v>1550</v>
      </c>
      <c r="G223" s="12" t="s">
        <v>1551</v>
      </c>
      <c r="H223" s="12" t="s">
        <v>1552</v>
      </c>
      <c r="I223" s="14" t="b">
        <f aca="false">IF(Lookup!$B$3="",FALSE(),ISNUMBER(SEARCH(Lookup!$B$3,A223&amp;" "&amp;B223&amp;" "&amp;D223&amp;" "&amp;E223&amp;" "&amp;F223)))</f>
        <v>0</v>
      </c>
      <c r="J223" s="0" t="str">
        <f aca="false">IF(I223,COUNTIF($I$2:I223,TRUE()),"")</f>
        <v/>
      </c>
    </row>
    <row r="224" customFormat="false" ht="28.35" hidden="false" customHeight="false" outlineLevel="0" collapsed="false">
      <c r="A224" s="11" t="s">
        <v>1553</v>
      </c>
      <c r="B224" s="12" t="s">
        <v>688</v>
      </c>
      <c r="C224" s="12" t="s">
        <v>1554</v>
      </c>
      <c r="D224" s="12" t="s">
        <v>1555</v>
      </c>
      <c r="E224" s="12" t="s">
        <v>1556</v>
      </c>
      <c r="F224" s="12" t="s">
        <v>1557</v>
      </c>
      <c r="G224" s="12" t="s">
        <v>1558</v>
      </c>
      <c r="H224" s="12" t="s">
        <v>1559</v>
      </c>
      <c r="I224" s="14" t="b">
        <f aca="false">IF(Lookup!$B$3="",FALSE(),ISNUMBER(SEARCH(Lookup!$B$3,A224&amp;" "&amp;B224&amp;" "&amp;D224&amp;" "&amp;E224&amp;" "&amp;F224)))</f>
        <v>0</v>
      </c>
      <c r="J224" s="0" t="str">
        <f aca="false">IF(I224,COUNTIF($I$2:I224,TRUE()),"")</f>
        <v/>
      </c>
    </row>
    <row r="225" customFormat="false" ht="15" hidden="false" customHeight="false" outlineLevel="0" collapsed="false">
      <c r="A225" s="11" t="s">
        <v>1560</v>
      </c>
      <c r="B225" s="12" t="s">
        <v>669</v>
      </c>
      <c r="C225" s="12" t="s">
        <v>1561</v>
      </c>
      <c r="D225" s="12" t="s">
        <v>1562</v>
      </c>
      <c r="E225" s="12" t="s">
        <v>1563</v>
      </c>
      <c r="F225" s="12" t="s">
        <v>1564</v>
      </c>
      <c r="G225" s="12" t="s">
        <v>1565</v>
      </c>
      <c r="H225" s="12" t="s">
        <v>1566</v>
      </c>
      <c r="I225" s="14" t="b">
        <f aca="false">IF(Lookup!$B$3="",FALSE(),ISNUMBER(SEARCH(Lookup!$B$3,A225&amp;" "&amp;B225&amp;" "&amp;D225&amp;" "&amp;E225&amp;" "&amp;F225)))</f>
        <v>0</v>
      </c>
      <c r="J225" s="0" t="str">
        <f aca="false">IF(I225,COUNTIF($I$2:I225,TRUE()),"")</f>
        <v/>
      </c>
    </row>
    <row r="226" customFormat="false" ht="15" hidden="false" customHeight="false" outlineLevel="0" collapsed="false">
      <c r="A226" s="11" t="s">
        <v>1567</v>
      </c>
      <c r="B226" s="12" t="s">
        <v>1568</v>
      </c>
      <c r="C226" s="12" t="s">
        <v>1569</v>
      </c>
      <c r="D226" s="12" t="s">
        <v>1570</v>
      </c>
      <c r="E226" s="12" t="s">
        <v>1571</v>
      </c>
      <c r="F226" s="12" t="s">
        <v>1572</v>
      </c>
      <c r="G226" s="12" t="s">
        <v>1573</v>
      </c>
      <c r="H226" s="12"/>
      <c r="I226" s="14" t="b">
        <f aca="false">IF(Lookup!$B$3="",FALSE(),ISNUMBER(SEARCH(Lookup!$B$3,A226&amp;" "&amp;B226&amp;" "&amp;D226&amp;" "&amp;E226&amp;" "&amp;F226)))</f>
        <v>0</v>
      </c>
      <c r="J226" s="0" t="str">
        <f aca="false">IF(I226,COUNTIF($I$2:I226,TRUE()),"")</f>
        <v/>
      </c>
    </row>
    <row r="227" customFormat="false" ht="28.35" hidden="false" customHeight="false" outlineLevel="0" collapsed="false">
      <c r="A227" s="11" t="s">
        <v>1574</v>
      </c>
      <c r="B227" s="12" t="s">
        <v>1575</v>
      </c>
      <c r="C227" s="12" t="s">
        <v>1576</v>
      </c>
      <c r="D227" s="12" t="s">
        <v>1577</v>
      </c>
      <c r="E227" s="12" t="s">
        <v>1578</v>
      </c>
      <c r="F227" s="12" t="s">
        <v>1578</v>
      </c>
      <c r="G227" s="12" t="s">
        <v>1579</v>
      </c>
      <c r="H227" s="12" t="s">
        <v>1580</v>
      </c>
      <c r="I227" s="14" t="b">
        <f aca="false">IF(Lookup!$B$3="",FALSE(),ISNUMBER(SEARCH(Lookup!$B$3,A227&amp;" "&amp;B227&amp;" "&amp;D227&amp;" "&amp;E227&amp;" "&amp;F227)))</f>
        <v>0</v>
      </c>
      <c r="J227" s="0" t="str">
        <f aca="false">IF(I227,COUNTIF($I$2:I227,TRUE()),"")</f>
        <v/>
      </c>
    </row>
    <row r="228" customFormat="false" ht="28.35" hidden="false" customHeight="false" outlineLevel="0" collapsed="false">
      <c r="A228" s="11" t="s">
        <v>483</v>
      </c>
      <c r="B228" s="12" t="s">
        <v>1581</v>
      </c>
      <c r="C228" s="12" t="s">
        <v>1582</v>
      </c>
      <c r="D228" s="12" t="s">
        <v>1583</v>
      </c>
      <c r="E228" s="12" t="s">
        <v>1584</v>
      </c>
      <c r="F228" s="12" t="s">
        <v>1585</v>
      </c>
      <c r="G228" s="12" t="s">
        <v>1586</v>
      </c>
      <c r="H228" s="12"/>
      <c r="I228" s="14" t="b">
        <f aca="false">IF(Lookup!$B$3="",FALSE(),ISNUMBER(SEARCH(Lookup!$B$3,A228&amp;" "&amp;B228&amp;" "&amp;D228&amp;" "&amp;E228&amp;" "&amp;F228)))</f>
        <v>0</v>
      </c>
      <c r="J228" s="0" t="str">
        <f aca="false">IF(I228,COUNTIF($I$2:I228,TRUE()),"")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2026-10-27T16:42:11Z</dcterms:created>
  <dc:creator>openpyxl</dc:creator>
  <dc:description/>
  <dc:language>en-US</dc:language>
  <cp:lastModifiedBy/>
  <dcterms:modified xsi:type="dcterms:W3CDTF">2026-10-27T16:42:12Z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